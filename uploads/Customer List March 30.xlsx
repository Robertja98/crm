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f265f2baaf53831/0.5-Eclipse/Marketing/CRM/uploads/"/>
    </mc:Choice>
  </mc:AlternateContent>
  <xr:revisionPtr revIDLastSave="4" documentId="10_ncr:80000000_{3B1A7991-9353-4B8A-A306-D53FC16285FC}" xr6:coauthVersionLast="47" xr6:coauthVersionMax="47" xr10:uidLastSave="{760026FA-6C05-49F7-8EBA-1AE4FF28CCEE}"/>
  <bookViews>
    <workbookView xWindow="-110" yWindow="-110" windowWidth="24220" windowHeight="15500" xr2:uid="{13B15254-B879-468D-9A3F-84D05FE79915}"/>
  </bookViews>
  <sheets>
    <sheet name="Account Summary" sheetId="1" r:id="rId1"/>
    <sheet name="Product Summary" sheetId="2" r:id="rId2"/>
    <sheet name="Mississauga" sheetId="3" r:id="rId3"/>
    <sheet name="Vaudreuil" sheetId="4" r:id="rId4"/>
    <sheet name="Sheet1" sheetId="5" r:id="rId5"/>
  </sheets>
  <definedNames>
    <definedName name="_xlnm._FilterDatabase" localSheetId="0" hidden="1">'Account Summary'!$A$1:$P$1</definedName>
    <definedName name="_xlnm.Print_Area" localSheetId="2">Mississauga!$A$1:$O$65</definedName>
    <definedName name="_xlnm.Print_Titles" localSheetId="0">'Account Summary'!$1:$1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O17" i="2"/>
  <c r="G8" i="2"/>
  <c r="H8" i="2" s="1"/>
  <c r="G49" i="2"/>
  <c r="H49" i="2" s="1"/>
  <c r="O22" i="2"/>
  <c r="O3" i="2"/>
  <c r="G5" i="2"/>
  <c r="H5" i="2" s="1"/>
  <c r="K5" i="2"/>
  <c r="L5" i="2" s="1"/>
  <c r="G6" i="2"/>
  <c r="H6" i="2" s="1"/>
  <c r="K6" i="2"/>
  <c r="L6" i="2" s="1"/>
  <c r="K7" i="2"/>
  <c r="L7" i="2" s="1"/>
  <c r="O7" i="2"/>
  <c r="K8" i="2"/>
  <c r="L8" i="2" s="1"/>
  <c r="G9" i="2"/>
  <c r="H9" i="2" s="1"/>
  <c r="K9" i="2"/>
  <c r="L9" i="2" s="1"/>
  <c r="O9" i="2"/>
  <c r="G10" i="2"/>
  <c r="H10" i="2" s="1"/>
  <c r="G11" i="2"/>
  <c r="H11" i="2" s="1"/>
  <c r="K11" i="2"/>
  <c r="L11" i="2" s="1"/>
  <c r="K12" i="2"/>
  <c r="L12" i="2" s="1"/>
  <c r="O12" i="2"/>
  <c r="K13" i="2"/>
  <c r="L13" i="2" s="1"/>
  <c r="O13" i="2"/>
  <c r="K14" i="2"/>
  <c r="L14" i="2" s="1"/>
  <c r="O14" i="2"/>
  <c r="K15" i="2"/>
  <c r="L15" i="2" s="1"/>
  <c r="K16" i="2"/>
  <c r="L16" i="2" s="1"/>
  <c r="G17" i="2"/>
  <c r="H17" i="2" s="1"/>
  <c r="K17" i="2"/>
  <c r="L17" i="2" s="1"/>
  <c r="G18" i="2"/>
  <c r="H18" i="2" s="1"/>
  <c r="O18" i="2"/>
  <c r="G19" i="2"/>
  <c r="H19" i="2" s="1"/>
  <c r="O19" i="2"/>
  <c r="K20" i="2"/>
  <c r="L20" i="2" s="1"/>
  <c r="G21" i="2"/>
  <c r="H21" i="2" s="1"/>
  <c r="G23" i="2"/>
  <c r="H23" i="2" s="1"/>
  <c r="O23" i="2"/>
  <c r="K24" i="2"/>
  <c r="L24" i="2" s="1"/>
  <c r="K25" i="2"/>
  <c r="L25" i="2" s="1"/>
  <c r="G26" i="2"/>
  <c r="H26" i="2" s="1"/>
  <c r="O26" i="2"/>
  <c r="G27" i="2"/>
  <c r="H27" i="2" s="1"/>
  <c r="O27" i="2"/>
  <c r="K29" i="2"/>
  <c r="L29" i="2" s="1"/>
  <c r="G30" i="2"/>
  <c r="H30" i="2" s="1"/>
  <c r="O30" i="2"/>
  <c r="O31" i="2"/>
  <c r="G32" i="2"/>
  <c r="H32" i="2" s="1"/>
  <c r="K32" i="2"/>
  <c r="L32" i="2" s="1"/>
  <c r="G33" i="2"/>
  <c r="H33" i="2" s="1"/>
  <c r="K33" i="2"/>
  <c r="L33" i="2" s="1"/>
  <c r="O33" i="2"/>
  <c r="K34" i="2"/>
  <c r="L34" i="2" s="1"/>
  <c r="O35" i="2"/>
  <c r="K36" i="2"/>
  <c r="L36" i="2" s="1"/>
  <c r="G37" i="2"/>
  <c r="H37" i="2" s="1"/>
  <c r="O38" i="2"/>
  <c r="G39" i="2"/>
  <c r="H39" i="2" s="1"/>
  <c r="K39" i="2"/>
  <c r="L39" i="2" s="1"/>
  <c r="O39" i="2"/>
  <c r="K40" i="2"/>
  <c r="L40" i="2" s="1"/>
  <c r="K41" i="2"/>
  <c r="L41" i="2" s="1"/>
  <c r="O41" i="2"/>
  <c r="K42" i="2"/>
  <c r="L42" i="2" s="1"/>
  <c r="G44" i="2"/>
  <c r="H44" i="2" s="1"/>
  <c r="O44" i="2"/>
  <c r="G45" i="2"/>
  <c r="H45" i="2" s="1"/>
  <c r="K45" i="2"/>
  <c r="L45" i="2" s="1"/>
  <c r="G47" i="2"/>
  <c r="H47" i="2" s="1"/>
  <c r="K47" i="2"/>
  <c r="L47" i="2" s="1"/>
  <c r="O47" i="2"/>
  <c r="K48" i="2"/>
  <c r="L48" i="2" s="1"/>
  <c r="K49" i="2"/>
  <c r="L49" i="2" s="1"/>
  <c r="O49" i="2"/>
  <c r="G50" i="2"/>
  <c r="H50" i="2" s="1"/>
  <c r="O50" i="2"/>
  <c r="K51" i="2"/>
  <c r="L51" i="2" s="1"/>
  <c r="K53" i="2"/>
  <c r="L53" i="2"/>
  <c r="G54" i="2"/>
  <c r="H54" i="2" s="1"/>
  <c r="K55" i="2"/>
  <c r="L55" i="2" s="1"/>
  <c r="G56" i="2"/>
  <c r="H56" i="2" s="1"/>
  <c r="K56" i="2"/>
  <c r="L56" i="2" s="1"/>
  <c r="O56" i="2"/>
  <c r="G57" i="2"/>
  <c r="H57" i="2" s="1"/>
  <c r="K57" i="2"/>
  <c r="L57" i="2" s="1"/>
  <c r="O57" i="2"/>
  <c r="G59" i="2"/>
  <c r="H59" i="2" s="1"/>
  <c r="O60" i="2"/>
  <c r="O63" i="4"/>
  <c r="O64" i="4"/>
  <c r="K3" i="2"/>
  <c r="L3" i="2" s="1"/>
  <c r="G3" i="2"/>
  <c r="H3" i="2" s="1"/>
  <c r="O40" i="2" l="1"/>
  <c r="O11" i="4"/>
  <c r="G51" i="2"/>
  <c r="H51" i="2" s="1"/>
  <c r="G14" i="4"/>
  <c r="H14" i="4" s="1"/>
  <c r="K19" i="4"/>
  <c r="L19" i="4" s="1"/>
  <c r="G40" i="2"/>
  <c r="H40" i="2" s="1"/>
  <c r="G51" i="4"/>
  <c r="H51" i="4" s="1"/>
  <c r="O19" i="4"/>
  <c r="K42" i="4"/>
  <c r="L42" i="4" s="1"/>
  <c r="G13" i="4"/>
  <c r="H13" i="4" s="1"/>
  <c r="G29" i="2"/>
  <c r="H29" i="2" s="1"/>
  <c r="G25" i="2"/>
  <c r="H25" i="2" s="1"/>
  <c r="O10" i="2"/>
  <c r="G46" i="2"/>
  <c r="H46" i="2" s="1"/>
  <c r="G33" i="4"/>
  <c r="H33" i="4" s="1"/>
  <c r="G53" i="4"/>
  <c r="H53" i="4" s="1"/>
  <c r="K22" i="4"/>
  <c r="L22" i="4" s="1"/>
  <c r="G34" i="4"/>
  <c r="H34" i="4" s="1"/>
  <c r="O9" i="4"/>
  <c r="G52" i="2"/>
  <c r="H52" i="2" s="1"/>
  <c r="G43" i="2"/>
  <c r="H43" i="2" s="1"/>
  <c r="K59" i="2"/>
  <c r="L59" i="2" s="1"/>
  <c r="G9" i="4"/>
  <c r="H9" i="4" s="1"/>
  <c r="G53" i="2"/>
  <c r="H53" i="2" s="1"/>
  <c r="G22" i="2"/>
  <c r="H22" i="2" s="1"/>
  <c r="G31" i="2"/>
  <c r="H31" i="2" s="1"/>
  <c r="K12" i="4"/>
  <c r="L12" i="4" s="1"/>
  <c r="O29" i="4"/>
  <c r="K39" i="4"/>
  <c r="L39" i="4" s="1"/>
  <c r="K7" i="4"/>
  <c r="L7" i="4" s="1"/>
  <c r="O13" i="4"/>
  <c r="G19" i="4"/>
  <c r="H19" i="4" s="1"/>
  <c r="G23" i="4"/>
  <c r="H23" i="4" s="1"/>
  <c r="G26" i="4"/>
  <c r="H26" i="4" s="1"/>
  <c r="K37" i="4"/>
  <c r="L37" i="4" s="1"/>
  <c r="G42" i="4"/>
  <c r="H42" i="4" s="1"/>
  <c r="G43" i="4"/>
  <c r="H43" i="4" s="1"/>
  <c r="O55" i="4"/>
  <c r="G6" i="4"/>
  <c r="H6" i="4" s="1"/>
  <c r="K25" i="4"/>
  <c r="L25" i="4" s="1"/>
  <c r="G28" i="4"/>
  <c r="H28" i="4" s="1"/>
  <c r="O35" i="4"/>
  <c r="K41" i="4"/>
  <c r="L41" i="4" s="1"/>
  <c r="K45" i="4"/>
  <c r="L45" i="4" s="1"/>
  <c r="K47" i="4"/>
  <c r="L47" i="4" s="1"/>
  <c r="G8" i="4"/>
  <c r="H8" i="4" s="1"/>
  <c r="K13" i="4"/>
  <c r="L13" i="4" s="1"/>
  <c r="K14" i="4"/>
  <c r="L14" i="4" s="1"/>
  <c r="K15" i="4"/>
  <c r="L15" i="4" s="1"/>
  <c r="K30" i="4"/>
  <c r="L30" i="4" s="1"/>
  <c r="K32" i="4"/>
  <c r="L32" i="4" s="1"/>
  <c r="G35" i="4"/>
  <c r="H35" i="4" s="1"/>
  <c r="G56" i="4"/>
  <c r="H56" i="4" s="1"/>
  <c r="K57" i="4"/>
  <c r="L57" i="4" s="1"/>
  <c r="K5" i="4"/>
  <c r="L5" i="4" s="1"/>
  <c r="G7" i="4"/>
  <c r="H7" i="4" s="1"/>
  <c r="K8" i="4"/>
  <c r="L8" i="4" s="1"/>
  <c r="O14" i="4"/>
  <c r="G25" i="4"/>
  <c r="H25" i="4" s="1"/>
  <c r="G37" i="4"/>
  <c r="H37" i="4" s="1"/>
  <c r="G40" i="4"/>
  <c r="H40" i="4" s="1"/>
  <c r="G45" i="4"/>
  <c r="H45" i="4" s="1"/>
  <c r="O51" i="4"/>
  <c r="O53" i="4"/>
  <c r="K54" i="4"/>
  <c r="L54" i="4" s="1"/>
  <c r="K56" i="4"/>
  <c r="L56" i="4" s="1"/>
  <c r="G4" i="2"/>
  <c r="H4" i="2" s="1"/>
  <c r="O6" i="2"/>
  <c r="O4" i="2"/>
  <c r="K28" i="4"/>
  <c r="L28" i="4" s="1"/>
  <c r="O17" i="4"/>
  <c r="K48" i="4"/>
  <c r="L48" i="4" s="1"/>
  <c r="O49" i="4"/>
  <c r="K44" i="4"/>
  <c r="L44" i="4" s="1"/>
  <c r="K59" i="4"/>
  <c r="L59" i="4" s="1"/>
  <c r="O46" i="4"/>
  <c r="O43" i="4"/>
  <c r="G31" i="4"/>
  <c r="H31" i="4" s="1"/>
  <c r="O23" i="4"/>
  <c r="O20" i="4"/>
  <c r="K18" i="4"/>
  <c r="L18" i="4" s="1"/>
  <c r="O54" i="2"/>
  <c r="G38" i="2"/>
  <c r="H38" i="2" s="1"/>
  <c r="K37" i="2"/>
  <c r="L37" i="2" s="1"/>
  <c r="O8" i="2"/>
  <c r="G55" i="2"/>
  <c r="H55" i="2" s="1"/>
  <c r="O59" i="2"/>
  <c r="K50" i="2"/>
  <c r="L50" i="2" s="1"/>
  <c r="O58" i="2"/>
  <c r="O48" i="2"/>
  <c r="K38" i="2"/>
  <c r="L38" i="2" s="1"/>
  <c r="E61" i="4"/>
  <c r="O21" i="4"/>
  <c r="K23" i="4"/>
  <c r="L23" i="4" s="1"/>
  <c r="K35" i="4"/>
  <c r="L35" i="4" s="1"/>
  <c r="G39" i="4"/>
  <c r="H39" i="4" s="1"/>
  <c r="O50" i="4"/>
  <c r="K51" i="4"/>
  <c r="L51" i="4" s="1"/>
  <c r="G4" i="4"/>
  <c r="H4" i="4" s="1"/>
  <c r="G5" i="4"/>
  <c r="H5" i="4" s="1"/>
  <c r="K11" i="4"/>
  <c r="L11" i="4" s="1"/>
  <c r="K16" i="4"/>
  <c r="L16" i="4" s="1"/>
  <c r="K17" i="4"/>
  <c r="L17" i="4" s="1"/>
  <c r="G21" i="4"/>
  <c r="H21" i="4" s="1"/>
  <c r="G24" i="4"/>
  <c r="H24" i="4" s="1"/>
  <c r="O25" i="4"/>
  <c r="K26" i="4"/>
  <c r="L26" i="4" s="1"/>
  <c r="G27" i="4"/>
  <c r="H27" i="4" s="1"/>
  <c r="O30" i="4"/>
  <c r="O32" i="4"/>
  <c r="G36" i="4"/>
  <c r="H36" i="4" s="1"/>
  <c r="O37" i="4"/>
  <c r="K46" i="4"/>
  <c r="L46" i="4" s="1"/>
  <c r="G47" i="4"/>
  <c r="H47" i="4" s="1"/>
  <c r="O48" i="4"/>
  <c r="K49" i="4"/>
  <c r="L49" i="4" s="1"/>
  <c r="G50" i="4"/>
  <c r="H50" i="4" s="1"/>
  <c r="K53" i="4"/>
  <c r="L53" i="4" s="1"/>
  <c r="G54" i="4"/>
  <c r="H54" i="4" s="1"/>
  <c r="O54" i="4"/>
  <c r="G57" i="4"/>
  <c r="H57" i="4" s="1"/>
  <c r="O6" i="4"/>
  <c r="G58" i="2"/>
  <c r="H58" i="2" s="1"/>
  <c r="O45" i="2"/>
  <c r="O34" i="2"/>
  <c r="K52" i="2"/>
  <c r="L52" i="2" s="1"/>
  <c r="G48" i="2"/>
  <c r="H48" i="2" s="1"/>
  <c r="K46" i="2"/>
  <c r="L46" i="2" s="1"/>
  <c r="O37" i="2"/>
  <c r="G7" i="2"/>
  <c r="H7" i="2" s="1"/>
  <c r="K36" i="3"/>
  <c r="L36" i="3" s="1"/>
  <c r="O5" i="4"/>
  <c r="O8" i="4"/>
  <c r="G10" i="4"/>
  <c r="H10" i="4" s="1"/>
  <c r="D61" i="4"/>
  <c r="O15" i="4"/>
  <c r="O53" i="2"/>
  <c r="O55" i="2"/>
  <c r="O52" i="2"/>
  <c r="O51" i="2"/>
  <c r="O46" i="2"/>
  <c r="O43" i="2"/>
  <c r="D61" i="2"/>
  <c r="D63" i="2" s="1"/>
  <c r="K21" i="2"/>
  <c r="L21" i="2" s="1"/>
  <c r="G14" i="2"/>
  <c r="H14" i="2" s="1"/>
  <c r="O5" i="2"/>
  <c r="G36" i="2"/>
  <c r="H36" i="2" s="1"/>
  <c r="K35" i="2"/>
  <c r="L35" i="2" s="1"/>
  <c r="K28" i="2"/>
  <c r="L28" i="2" s="1"/>
  <c r="G13" i="2"/>
  <c r="H13" i="2" s="1"/>
  <c r="K58" i="2"/>
  <c r="L58" i="2" s="1"/>
  <c r="K54" i="2"/>
  <c r="L54" i="2" s="1"/>
  <c r="K44" i="2"/>
  <c r="L44" i="2" s="1"/>
  <c r="G42" i="2"/>
  <c r="H42" i="2" s="1"/>
  <c r="O36" i="2"/>
  <c r="G35" i="2"/>
  <c r="H35" i="2" s="1"/>
  <c r="O32" i="2"/>
  <c r="O28" i="2"/>
  <c r="O24" i="2"/>
  <c r="O20" i="2"/>
  <c r="O11" i="2"/>
  <c r="K31" i="2"/>
  <c r="L31" i="2" s="1"/>
  <c r="G28" i="2"/>
  <c r="H28" i="2" s="1"/>
  <c r="K27" i="2"/>
  <c r="L27" i="2" s="1"/>
  <c r="G24" i="2"/>
  <c r="H24" i="2" s="1"/>
  <c r="K23" i="2"/>
  <c r="L23" i="2" s="1"/>
  <c r="G20" i="2"/>
  <c r="H20" i="2" s="1"/>
  <c r="K19" i="2"/>
  <c r="L19" i="2" s="1"/>
  <c r="G12" i="2"/>
  <c r="H12" i="2" s="1"/>
  <c r="K30" i="2"/>
  <c r="L30" i="2" s="1"/>
  <c r="O29" i="2"/>
  <c r="K26" i="2"/>
  <c r="L26" i="2" s="1"/>
  <c r="O25" i="2"/>
  <c r="K22" i="2"/>
  <c r="L22" i="2" s="1"/>
  <c r="O21" i="2"/>
  <c r="K18" i="2"/>
  <c r="L18" i="2" s="1"/>
  <c r="K10" i="2"/>
  <c r="L10" i="2" s="1"/>
  <c r="K4" i="2"/>
  <c r="L4" i="2" s="1"/>
  <c r="K38" i="4"/>
  <c r="L38" i="4" s="1"/>
  <c r="G3" i="4"/>
  <c r="H3" i="4" s="1"/>
  <c r="K43" i="2"/>
  <c r="L43" i="2" s="1"/>
  <c r="O42" i="2"/>
  <c r="G41" i="2"/>
  <c r="H41" i="2" s="1"/>
  <c r="J61" i="2"/>
  <c r="O44" i="4"/>
  <c r="I61" i="2"/>
  <c r="B61" i="2"/>
  <c r="C61" i="2"/>
  <c r="G15" i="3"/>
  <c r="H15" i="3" s="1"/>
  <c r="J61" i="4"/>
  <c r="O45" i="4"/>
  <c r="O40" i="4"/>
  <c r="O4" i="4"/>
  <c r="G34" i="3"/>
  <c r="H34" i="3" s="1"/>
  <c r="K33" i="3"/>
  <c r="L33" i="3" s="1"/>
  <c r="O32" i="3"/>
  <c r="G31" i="3"/>
  <c r="H31" i="3" s="1"/>
  <c r="G28" i="3"/>
  <c r="H28" i="3" s="1"/>
  <c r="O16" i="2"/>
  <c r="G19" i="3"/>
  <c r="H19" i="3" s="1"/>
  <c r="K11" i="3"/>
  <c r="L11" i="3" s="1"/>
  <c r="K13" i="3"/>
  <c r="L13" i="3" s="1"/>
  <c r="O38" i="3"/>
  <c r="G41" i="3"/>
  <c r="H41" i="3" s="1"/>
  <c r="K43" i="3"/>
  <c r="L43" i="3" s="1"/>
  <c r="O45" i="3"/>
  <c r="K50" i="3"/>
  <c r="L50" i="3" s="1"/>
  <c r="G53" i="3"/>
  <c r="H53" i="3" s="1"/>
  <c r="K23" i="3"/>
  <c r="L23" i="3" s="1"/>
  <c r="G29" i="3"/>
  <c r="H29" i="3" s="1"/>
  <c r="O29" i="3"/>
  <c r="K31" i="3"/>
  <c r="L31" i="3" s="1"/>
  <c r="G33" i="3"/>
  <c r="H33" i="3" s="1"/>
  <c r="K35" i="3"/>
  <c r="L35" i="3" s="1"/>
  <c r="O37" i="3"/>
  <c r="K39" i="3"/>
  <c r="L39" i="3" s="1"/>
  <c r="G44" i="3"/>
  <c r="H44" i="3" s="1"/>
  <c r="K46" i="3"/>
  <c r="L46" i="3" s="1"/>
  <c r="G48" i="3"/>
  <c r="H48" i="3" s="1"/>
  <c r="O48" i="3"/>
  <c r="O50" i="3"/>
  <c r="G59" i="3"/>
  <c r="H59" i="3" s="1"/>
  <c r="K8" i="3"/>
  <c r="L8" i="3" s="1"/>
  <c r="K55" i="3"/>
  <c r="L55" i="3" s="1"/>
  <c r="O54" i="3"/>
  <c r="G50" i="3"/>
  <c r="H50" i="3" s="1"/>
  <c r="G47" i="3"/>
  <c r="H47" i="3" s="1"/>
  <c r="G27" i="3"/>
  <c r="H27" i="3" s="1"/>
  <c r="O44" i="3"/>
  <c r="G43" i="3"/>
  <c r="H43" i="3" s="1"/>
  <c r="K22" i="3"/>
  <c r="L22" i="3" s="1"/>
  <c r="O40" i="3"/>
  <c r="G26" i="3"/>
  <c r="H26" i="3" s="1"/>
  <c r="O24" i="3"/>
  <c r="O43" i="3"/>
  <c r="K20" i="3"/>
  <c r="L20" i="3" s="1"/>
  <c r="O9" i="3"/>
  <c r="K6" i="3"/>
  <c r="L6" i="3" s="1"/>
  <c r="K58" i="3"/>
  <c r="L58" i="3" s="1"/>
  <c r="O56" i="3"/>
  <c r="K52" i="3"/>
  <c r="L52" i="3" s="1"/>
  <c r="K37" i="3"/>
  <c r="L37" i="3" s="1"/>
  <c r="O36" i="3"/>
  <c r="G35" i="3"/>
  <c r="H35" i="3" s="1"/>
  <c r="K34" i="3"/>
  <c r="L34" i="3" s="1"/>
  <c r="G32" i="3"/>
  <c r="H32" i="3" s="1"/>
  <c r="O26" i="3"/>
  <c r="K24" i="3"/>
  <c r="L24" i="3" s="1"/>
  <c r="O23" i="3"/>
  <c r="O13" i="3"/>
  <c r="O15" i="2"/>
  <c r="K9" i="3" l="1"/>
  <c r="L9" i="3" s="1"/>
  <c r="O11" i="3"/>
  <c r="K32" i="3"/>
  <c r="L32" i="3" s="1"/>
  <c r="K27" i="3"/>
  <c r="L27" i="3" s="1"/>
  <c r="K33" i="4"/>
  <c r="L33" i="4" s="1"/>
  <c r="G20" i="4"/>
  <c r="H20" i="4" s="1"/>
  <c r="G22" i="4"/>
  <c r="H22" i="4" s="1"/>
  <c r="G41" i="4"/>
  <c r="H41" i="4" s="1"/>
  <c r="O31" i="4"/>
  <c r="K4" i="4"/>
  <c r="L4" i="4" s="1"/>
  <c r="K20" i="4"/>
  <c r="L20" i="4" s="1"/>
  <c r="K9" i="4"/>
  <c r="L9" i="4" s="1"/>
  <c r="K10" i="4"/>
  <c r="L10" i="4" s="1"/>
  <c r="O12" i="3"/>
  <c r="G57" i="3"/>
  <c r="H57" i="3" s="1"/>
  <c r="K4" i="3"/>
  <c r="L4" i="3" s="1"/>
  <c r="O4" i="3"/>
  <c r="O7" i="4"/>
  <c r="G48" i="4"/>
  <c r="H48" i="4" s="1"/>
  <c r="G52" i="3"/>
  <c r="H52" i="3" s="1"/>
  <c r="G49" i="4"/>
  <c r="H49" i="4" s="1"/>
  <c r="N61" i="4"/>
  <c r="G11" i="4"/>
  <c r="H11" i="4" s="1"/>
  <c r="O39" i="4"/>
  <c r="O47" i="4"/>
  <c r="G59" i="4"/>
  <c r="H59" i="4" s="1"/>
  <c r="I61" i="4"/>
  <c r="K61" i="4" s="1"/>
  <c r="L61" i="4" s="1"/>
  <c r="K40" i="4"/>
  <c r="L40" i="4" s="1"/>
  <c r="O36" i="4"/>
  <c r="K57" i="3"/>
  <c r="L57" i="3" s="1"/>
  <c r="G54" i="3"/>
  <c r="H54" i="3" s="1"/>
  <c r="K18" i="3"/>
  <c r="L18" i="3" s="1"/>
  <c r="O28" i="3"/>
  <c r="G25" i="3"/>
  <c r="H25" i="3" s="1"/>
  <c r="O8" i="3"/>
  <c r="G14" i="3"/>
  <c r="H14" i="3" s="1"/>
  <c r="G8" i="3"/>
  <c r="H8" i="3" s="1"/>
  <c r="G21" i="3"/>
  <c r="H21" i="3" s="1"/>
  <c r="C63" i="2"/>
  <c r="O35" i="3"/>
  <c r="K6" i="4"/>
  <c r="L6" i="4" s="1"/>
  <c r="K51" i="3"/>
  <c r="L51" i="3" s="1"/>
  <c r="K56" i="3"/>
  <c r="L56" i="3" s="1"/>
  <c r="G52" i="4"/>
  <c r="H52" i="4" s="1"/>
  <c r="O22" i="4"/>
  <c r="M61" i="4"/>
  <c r="P61" i="4" s="1"/>
  <c r="C61" i="4"/>
  <c r="O28" i="4"/>
  <c r="O34" i="4"/>
  <c r="G17" i="4"/>
  <c r="H17" i="4" s="1"/>
  <c r="G46" i="4"/>
  <c r="H46" i="4" s="1"/>
  <c r="O38" i="4"/>
  <c r="K21" i="4"/>
  <c r="L21" i="4" s="1"/>
  <c r="G16" i="4"/>
  <c r="H16" i="4" s="1"/>
  <c r="O41" i="4"/>
  <c r="O24" i="4"/>
  <c r="K58" i="4"/>
  <c r="L58" i="4" s="1"/>
  <c r="K50" i="4"/>
  <c r="L50" i="4" s="1"/>
  <c r="G30" i="3"/>
  <c r="H30" i="3" s="1"/>
  <c r="G40" i="3"/>
  <c r="H40" i="3" s="1"/>
  <c r="G10" i="3"/>
  <c r="H10" i="3" s="1"/>
  <c r="O12" i="4"/>
  <c r="O27" i="4"/>
  <c r="O33" i="4"/>
  <c r="G18" i="4"/>
  <c r="H18" i="4" s="1"/>
  <c r="K36" i="4"/>
  <c r="L36" i="4" s="1"/>
  <c r="O26" i="4"/>
  <c r="O18" i="4"/>
  <c r="K27" i="4"/>
  <c r="L27" i="4" s="1"/>
  <c r="K52" i="4"/>
  <c r="L52" i="4" s="1"/>
  <c r="F61" i="4"/>
  <c r="G61" i="4" s="1"/>
  <c r="H61" i="4" s="1"/>
  <c r="G30" i="4"/>
  <c r="H30" i="4" s="1"/>
  <c r="G34" i="2"/>
  <c r="H34" i="2" s="1"/>
  <c r="K49" i="3"/>
  <c r="L49" i="3" s="1"/>
  <c r="O10" i="3"/>
  <c r="K28" i="3"/>
  <c r="L28" i="3" s="1"/>
  <c r="K59" i="3"/>
  <c r="L59" i="3" s="1"/>
  <c r="G24" i="3"/>
  <c r="H24" i="3" s="1"/>
  <c r="G6" i="3"/>
  <c r="H6" i="3" s="1"/>
  <c r="O5" i="3"/>
  <c r="O22" i="3"/>
  <c r="O42" i="3"/>
  <c r="G29" i="4"/>
  <c r="H29" i="4" s="1"/>
  <c r="K43" i="4"/>
  <c r="L43" i="4" s="1"/>
  <c r="G38" i="4"/>
  <c r="H38" i="4" s="1"/>
  <c r="K24" i="4"/>
  <c r="L24" i="4" s="1"/>
  <c r="G15" i="4"/>
  <c r="H15" i="4" s="1"/>
  <c r="G44" i="4"/>
  <c r="H44" i="4" s="1"/>
  <c r="G55" i="4"/>
  <c r="H55" i="4" s="1"/>
  <c r="G32" i="4"/>
  <c r="H32" i="4" s="1"/>
  <c r="K3" i="4"/>
  <c r="L3" i="4" s="1"/>
  <c r="K41" i="3"/>
  <c r="L41" i="3" s="1"/>
  <c r="G12" i="4"/>
  <c r="H12" i="4" s="1"/>
  <c r="K55" i="4"/>
  <c r="L55" i="4" s="1"/>
  <c r="O42" i="4"/>
  <c r="O16" i="4"/>
  <c r="O52" i="4"/>
  <c r="K34" i="4"/>
  <c r="L34" i="4" s="1"/>
  <c r="B61" i="4"/>
  <c r="K31" i="4"/>
  <c r="L31" i="4" s="1"/>
  <c r="K29" i="4"/>
  <c r="L29" i="4" s="1"/>
  <c r="O10" i="4"/>
  <c r="G58" i="4"/>
  <c r="H58" i="4" s="1"/>
  <c r="O30" i="3"/>
  <c r="O51" i="3"/>
  <c r="K26" i="3"/>
  <c r="L26" i="3" s="1"/>
  <c r="O3" i="3"/>
  <c r="N61" i="3"/>
  <c r="O33" i="3"/>
  <c r="K47" i="3"/>
  <c r="L47" i="3" s="1"/>
  <c r="O6" i="3"/>
  <c r="K21" i="3"/>
  <c r="L21" i="3" s="1"/>
  <c r="G5" i="3"/>
  <c r="H5" i="3" s="1"/>
  <c r="K12" i="3"/>
  <c r="L12" i="3" s="1"/>
  <c r="O52" i="3"/>
  <c r="O47" i="3"/>
  <c r="K40" i="3"/>
  <c r="L40" i="3" s="1"/>
  <c r="O14" i="3"/>
  <c r="G15" i="2"/>
  <c r="H15" i="2" s="1"/>
  <c r="E61" i="2"/>
  <c r="G13" i="3"/>
  <c r="H13" i="3" s="1"/>
  <c r="K44" i="3"/>
  <c r="L44" i="3" s="1"/>
  <c r="K53" i="3"/>
  <c r="L53" i="3" s="1"/>
  <c r="G16" i="3"/>
  <c r="H16" i="3" s="1"/>
  <c r="K25" i="3"/>
  <c r="L25" i="3" s="1"/>
  <c r="K42" i="3"/>
  <c r="L42" i="3" s="1"/>
  <c r="K48" i="3"/>
  <c r="L48" i="3" s="1"/>
  <c r="K15" i="3"/>
  <c r="L15" i="3" s="1"/>
  <c r="O34" i="3"/>
  <c r="G56" i="3"/>
  <c r="H56" i="3" s="1"/>
  <c r="O17" i="3"/>
  <c r="G58" i="3"/>
  <c r="H58" i="3" s="1"/>
  <c r="O25" i="3"/>
  <c r="O53" i="3"/>
  <c r="O19" i="3"/>
  <c r="K3" i="3"/>
  <c r="L3" i="3" s="1"/>
  <c r="J61" i="3"/>
  <c r="K14" i="3"/>
  <c r="L14" i="3" s="1"/>
  <c r="G36" i="3"/>
  <c r="H36" i="3" s="1"/>
  <c r="I61" i="3"/>
  <c r="E61" i="3"/>
  <c r="B61" i="3"/>
  <c r="G3" i="3"/>
  <c r="H3" i="3" s="1"/>
  <c r="F61" i="3"/>
  <c r="G61" i="3" s="1"/>
  <c r="H61" i="3" s="1"/>
  <c r="O16" i="3"/>
  <c r="G45" i="3"/>
  <c r="H45" i="3" s="1"/>
  <c r="G17" i="3"/>
  <c r="H17" i="3" s="1"/>
  <c r="O46" i="3"/>
  <c r="O57" i="3"/>
  <c r="K29" i="3"/>
  <c r="L29" i="3" s="1"/>
  <c r="G51" i="3"/>
  <c r="H51" i="3" s="1"/>
  <c r="K16" i="3"/>
  <c r="L16" i="3" s="1"/>
  <c r="O7" i="3"/>
  <c r="O55" i="3"/>
  <c r="G37" i="3"/>
  <c r="H37" i="3" s="1"/>
  <c r="M61" i="3"/>
  <c r="G38" i="3"/>
  <c r="H38" i="3" s="1"/>
  <c r="G12" i="3"/>
  <c r="H12" i="3" s="1"/>
  <c r="C61" i="3"/>
  <c r="O18" i="3"/>
  <c r="O39" i="3"/>
  <c r="O27" i="3"/>
  <c r="O58" i="3"/>
  <c r="O21" i="3"/>
  <c r="G55" i="3"/>
  <c r="H55" i="3" s="1"/>
  <c r="O49" i="3"/>
  <c r="G22" i="3"/>
  <c r="H22" i="3" s="1"/>
  <c r="G4" i="3"/>
  <c r="H4" i="3" s="1"/>
  <c r="K17" i="3"/>
  <c r="L17" i="3" s="1"/>
  <c r="K7" i="3"/>
  <c r="L7" i="3" s="1"/>
  <c r="G7" i="3"/>
  <c r="H7" i="3" s="1"/>
  <c r="K30" i="3"/>
  <c r="L30" i="3" s="1"/>
  <c r="K61" i="2"/>
  <c r="L61" i="2" s="1"/>
  <c r="K38" i="3"/>
  <c r="L38" i="3" s="1"/>
  <c r="K45" i="3"/>
  <c r="L45" i="3" s="1"/>
  <c r="G49" i="3"/>
  <c r="H49" i="3" s="1"/>
  <c r="G20" i="3"/>
  <c r="H20" i="3" s="1"/>
  <c r="D61" i="3"/>
  <c r="O20" i="3"/>
  <c r="G18" i="3"/>
  <c r="H18" i="3" s="1"/>
  <c r="G42" i="3"/>
  <c r="H42" i="3" s="1"/>
  <c r="G23" i="3"/>
  <c r="H23" i="3" s="1"/>
  <c r="K19" i="3"/>
  <c r="L19" i="3" s="1"/>
  <c r="G39" i="3"/>
  <c r="H39" i="3" s="1"/>
  <c r="G46" i="3"/>
  <c r="H46" i="3" s="1"/>
  <c r="K54" i="3"/>
  <c r="L54" i="3" s="1"/>
  <c r="G11" i="3"/>
  <c r="H11" i="3" s="1"/>
  <c r="O31" i="3"/>
  <c r="K5" i="3"/>
  <c r="L5" i="3" s="1"/>
  <c r="O41" i="3"/>
  <c r="G9" i="3"/>
  <c r="H9" i="3" s="1"/>
  <c r="K10" i="3"/>
  <c r="L10" i="3" s="1"/>
  <c r="O61" i="4" l="1"/>
  <c r="O15" i="3"/>
  <c r="G16" i="2"/>
  <c r="H16" i="2" s="1"/>
  <c r="F61" i="2"/>
  <c r="G61" i="2" s="1"/>
  <c r="H61" i="2" s="1"/>
  <c r="O61" i="3"/>
  <c r="K61" i="3"/>
  <c r="L6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MGC</author>
  </authors>
  <commentList>
    <comment ref="A7" authorId="0" shapeId="0" xr:uid="{B1002947-7AC8-474C-9292-38F62C3363E9}">
      <text>
        <r>
          <rPr>
            <b/>
            <sz val="8"/>
            <color indexed="81"/>
            <rFont val="Tahoma"/>
            <family val="2"/>
          </rPr>
          <t>MGC:</t>
        </r>
        <r>
          <rPr>
            <sz val="8"/>
            <color indexed="81"/>
            <rFont val="Tahoma"/>
            <family val="2"/>
          </rPr>
          <t xml:space="preserve">
Greg grobles@walkerind.com
905-359-1708</t>
        </r>
      </text>
    </comment>
    <comment ref="A140" authorId="0" shapeId="0" xr:uid="{0E8C1DD6-6A7C-4167-91ED-E9F41761901C}">
      <text>
        <r>
          <rPr>
            <b/>
            <sz val="8"/>
            <color indexed="81"/>
            <rFont val="Tahoma"/>
            <family val="2"/>
          </rPr>
          <t>MGC:</t>
        </r>
        <r>
          <rPr>
            <sz val="8"/>
            <color indexed="81"/>
            <rFont val="Tahoma"/>
            <family val="2"/>
          </rPr>
          <t xml:space="preserve">
verbal quote to George Kral</t>
        </r>
      </text>
    </comment>
    <comment ref="A178" authorId="0" shapeId="0" xr:uid="{000E5918-12DE-43F3-8449-237ADB9D0FD3}">
      <text>
        <r>
          <rPr>
            <b/>
            <sz val="8"/>
            <color indexed="81"/>
            <rFont val="Tahoma"/>
            <family val="2"/>
          </rPr>
          <t>MGC:</t>
        </r>
        <r>
          <rPr>
            <sz val="8"/>
            <color indexed="81"/>
            <rFont val="Tahoma"/>
            <family val="2"/>
          </rPr>
          <t xml:space="preserve">
Jim Andreatta 905-561-9100; 526A Grays Rd</t>
        </r>
      </text>
    </comment>
    <comment ref="A251" authorId="0" shapeId="0" xr:uid="{74D4836E-8FE4-481D-BC91-8306AE05CA8E}">
      <text>
        <r>
          <rPr>
            <b/>
            <sz val="8"/>
            <color indexed="81"/>
            <rFont val="Tahoma"/>
            <family val="2"/>
          </rPr>
          <t>MGC:</t>
        </r>
        <r>
          <rPr>
            <sz val="8"/>
            <color indexed="81"/>
            <rFont val="Tahoma"/>
            <family val="2"/>
          </rPr>
          <t xml:space="preserve">
winter hours Thursdays and Sundays
summer hours 10-6</t>
        </r>
      </text>
    </comment>
    <comment ref="A260" authorId="0" shapeId="0" xr:uid="{2D3BCD33-4F43-4CEC-919B-8006E348971A}">
      <text>
        <r>
          <rPr>
            <b/>
            <sz val="8"/>
            <color indexed="81"/>
            <rFont val="Tahoma"/>
            <family val="2"/>
          </rPr>
          <t>MGC:</t>
        </r>
        <r>
          <rPr>
            <sz val="8"/>
            <color indexed="81"/>
            <rFont val="Tahoma"/>
            <family val="2"/>
          </rPr>
          <t xml:space="preserve">
Jennifer Ruth is the main contact</t>
        </r>
      </text>
    </comment>
    <comment ref="A334" authorId="0" shapeId="0" xr:uid="{A825557D-E660-41B4-8ACF-A1876AF56432}">
      <text>
        <r>
          <rPr>
            <b/>
            <sz val="8"/>
            <color indexed="81"/>
            <rFont val="Tahoma"/>
            <family val="2"/>
          </rPr>
          <t>MGC:</t>
        </r>
        <r>
          <rPr>
            <sz val="8"/>
            <color indexed="81"/>
            <rFont val="Tahoma"/>
            <family val="2"/>
          </rPr>
          <t xml:space="preserve">
1996 Itabashi Way
905-332-1996
Bill Patcheson</t>
        </r>
      </text>
    </comment>
    <comment ref="A335" authorId="0" shapeId="0" xr:uid="{956FF36E-FF4D-4AAF-86EC-071D94F05516}">
      <text>
        <r>
          <rPr>
            <b/>
            <sz val="8"/>
            <color indexed="81"/>
            <rFont val="Tahoma"/>
            <family val="2"/>
          </rPr>
          <t>MGC:</t>
        </r>
        <r>
          <rPr>
            <sz val="8"/>
            <color indexed="81"/>
            <rFont val="Tahoma"/>
            <family val="2"/>
          </rPr>
          <t xml:space="preserve">
4235 New Street
905-637-2552
Ron Lawrence</t>
        </r>
      </text>
    </comment>
    <comment ref="A336" authorId="0" shapeId="0" xr:uid="{C477FE0F-91D8-4960-829D-5185F9D5BE35}">
      <text>
        <r>
          <rPr>
            <b/>
            <sz val="8"/>
            <color indexed="81"/>
            <rFont val="Tahoma"/>
            <family val="2"/>
          </rPr>
          <t>MGC:</t>
        </r>
        <r>
          <rPr>
            <sz val="8"/>
            <color indexed="81"/>
            <rFont val="Tahoma"/>
            <family val="2"/>
          </rPr>
          <t xml:space="preserve">
2205 Mount Forest Drive
905-332-6060
Ron Lawrence</t>
        </r>
      </text>
    </comment>
    <comment ref="A337" authorId="0" shapeId="0" xr:uid="{A25C5CA5-A4BA-432B-B5AF-BDDD01405D9F}">
      <text>
        <r>
          <rPr>
            <b/>
            <sz val="8"/>
            <color indexed="81"/>
            <rFont val="Tahoma"/>
            <family val="2"/>
          </rPr>
          <t>MGC:</t>
        </r>
        <r>
          <rPr>
            <sz val="8"/>
            <color indexed="81"/>
            <rFont val="Tahoma"/>
            <family val="2"/>
          </rPr>
          <t xml:space="preserve">
2425 Upper Middle Rd
905-335-7000
Bill Shillingford</t>
        </r>
      </text>
    </comment>
    <comment ref="A338" authorId="0" shapeId="0" xr:uid="{0B82C1AE-DF27-4247-8FAB-F474375B091B}">
      <text>
        <r>
          <rPr>
            <b/>
            <sz val="8"/>
            <color indexed="81"/>
            <rFont val="Tahoma"/>
            <family val="2"/>
          </rPr>
          <t>MGC:</t>
        </r>
        <r>
          <rPr>
            <sz val="8"/>
            <color indexed="81"/>
            <rFont val="Tahoma"/>
            <family val="2"/>
          </rPr>
          <t xml:space="preserve">
5151 New Street
905-639-5722
Bill Shillingford
</t>
        </r>
      </text>
    </comment>
    <comment ref="A339" authorId="0" shapeId="0" xr:uid="{97B8E298-BC0F-429B-8CC6-62883F8BD8AA}">
      <text>
        <r>
          <rPr>
            <b/>
            <sz val="8"/>
            <color indexed="81"/>
            <rFont val="Tahoma"/>
            <family val="2"/>
          </rPr>
          <t>MGC:</t>
        </r>
        <r>
          <rPr>
            <sz val="8"/>
            <color indexed="81"/>
            <rFont val="Tahoma"/>
            <family val="2"/>
          </rPr>
          <t xml:space="preserve">
50 Fairwood Place West
905-637-5688
Bill Shillford
m 905-334-3751</t>
        </r>
      </text>
    </comment>
  </commentList>
</comments>
</file>

<file path=xl/sharedStrings.xml><?xml version="1.0" encoding="utf-8"?>
<sst xmlns="http://schemas.openxmlformats.org/spreadsheetml/2006/main" count="1576" uniqueCount="697">
  <si>
    <t>Brantford Dyers &amp; Finishers Inc</t>
  </si>
  <si>
    <t>Bunge Canada - East Bldg</t>
  </si>
  <si>
    <t>Pride Pak</t>
  </si>
  <si>
    <t>Dalpro</t>
  </si>
  <si>
    <t>Wash 21</t>
  </si>
  <si>
    <t>CS 30%</t>
  </si>
  <si>
    <t>2006 (kg)</t>
  </si>
  <si>
    <t>Geomet Technologies</t>
  </si>
  <si>
    <t>Citric 50%</t>
  </si>
  <si>
    <t>Quebec</t>
  </si>
  <si>
    <t>Shelin Pools</t>
  </si>
  <si>
    <t>Fielding Chemical Technologies Inc</t>
  </si>
  <si>
    <t>Firan Technology Group</t>
  </si>
  <si>
    <t>Flavorchem Inc</t>
  </si>
  <si>
    <t>Tottenham</t>
  </si>
  <si>
    <t>Flexo</t>
  </si>
  <si>
    <t>Fona Canada</t>
  </si>
  <si>
    <t>Gaya Industries Ltd</t>
  </si>
  <si>
    <t>GE BetzCanada (Daimler Chrysler)</t>
  </si>
  <si>
    <t>GE BetzCanada (International Truck)</t>
  </si>
  <si>
    <t>General Magnaplate Canada</t>
  </si>
  <si>
    <t>Gennum</t>
  </si>
  <si>
    <t>Genpak</t>
  </si>
  <si>
    <t>Gentry Knitting Mills</t>
  </si>
  <si>
    <t>GK Chemical Specialties</t>
  </si>
  <si>
    <t>Bartek Ingredients Inc</t>
  </si>
  <si>
    <t>Ben David Dyeing</t>
  </si>
  <si>
    <t>Biolab Equipment Canada  Ltd</t>
  </si>
  <si>
    <t>Blue Bell Electroplating Inc</t>
  </si>
  <si>
    <t>Body Blue</t>
  </si>
  <si>
    <t>Booth Centenial</t>
  </si>
  <si>
    <t>Aluminium Surface Technology</t>
  </si>
  <si>
    <t>Alphachem</t>
  </si>
  <si>
    <t>Andres Wines Ltd</t>
  </si>
  <si>
    <t>Tottle Pools (2002) Inc</t>
  </si>
  <si>
    <t>Transalta Cogeneration LP</t>
  </si>
  <si>
    <t>Trent Pool &amp; Spa</t>
  </si>
  <si>
    <t>JL</t>
  </si>
  <si>
    <t>Ottawa</t>
  </si>
  <si>
    <t>Millen Marine &amp; Industrial Supply</t>
  </si>
  <si>
    <t>Port Colborne</t>
  </si>
  <si>
    <t>Lacombe Waste Service</t>
  </si>
  <si>
    <t>Christal Pools&amp; Spas</t>
  </si>
  <si>
    <t>Chatham</t>
  </si>
  <si>
    <t>Crystal Clear Pools</t>
  </si>
  <si>
    <t>Grimsby</t>
  </si>
  <si>
    <t>A G Simpson Co Ltd (Scarb)</t>
  </si>
  <si>
    <t>Ultimate Pool Service</t>
  </si>
  <si>
    <t>Vacuum Man (The)</t>
  </si>
  <si>
    <t>Victor Pool &amp; Spa Supply</t>
  </si>
  <si>
    <t>Simcoe</t>
  </si>
  <si>
    <t>Water World Pool &amp; Spa Centre</t>
  </si>
  <si>
    <t>Waterbee Pools Ltd</t>
  </si>
  <si>
    <t>Wellandport Hardware Ltd</t>
  </si>
  <si>
    <t>Creative Pools &amp; Tanning Ltd</t>
  </si>
  <si>
    <t>Barry's Salt &amp; Water Conditioning</t>
  </si>
  <si>
    <t>HP 50%</t>
  </si>
  <si>
    <t>PG</t>
  </si>
  <si>
    <t>CP 45%</t>
  </si>
  <si>
    <t>City</t>
  </si>
  <si>
    <t>HP 35%</t>
  </si>
  <si>
    <t>Leamington Pool Service Ltd</t>
  </si>
  <si>
    <t>Paris</t>
  </si>
  <si>
    <t>McAsphalt Industries</t>
  </si>
  <si>
    <t>HN 67%</t>
  </si>
  <si>
    <t>PAT 50%</t>
  </si>
  <si>
    <t>PAF 70%</t>
  </si>
  <si>
    <t>PAT 75%</t>
  </si>
  <si>
    <t>Sorensen Pool</t>
  </si>
  <si>
    <t>Spa Shoppe (The)</t>
  </si>
  <si>
    <t>Sparkle Pool</t>
  </si>
  <si>
    <t>Splendor Pools</t>
  </si>
  <si>
    <t>SS Swim Pools</t>
  </si>
  <si>
    <t>Starling Pools</t>
  </si>
  <si>
    <t>Strathcona Paper</t>
  </si>
  <si>
    <t>Superior Pool Spa &amp; Leisure</t>
  </si>
  <si>
    <t>Llyods Labs</t>
  </si>
  <si>
    <t>Hercules</t>
  </si>
  <si>
    <t>Advanced Surface Treatments Inc</t>
  </si>
  <si>
    <t>Ajax Textile Processing Co Ltd</t>
  </si>
  <si>
    <t>UAN 28%</t>
  </si>
  <si>
    <t>FeCl3 37%</t>
  </si>
  <si>
    <t>MC</t>
  </si>
  <si>
    <t>Pioneer Pools (Kitchener)</t>
  </si>
  <si>
    <t>Pioneer Pools (London)</t>
  </si>
  <si>
    <t>Pioneer Pools (Midhurst)</t>
  </si>
  <si>
    <t>Midhurst</t>
  </si>
  <si>
    <t>Pioneer Pools (Newmarket)</t>
  </si>
  <si>
    <t>R &amp; S Home Hardware</t>
  </si>
  <si>
    <t>Stirling</t>
  </si>
  <si>
    <t>Rainbow Pools Ltd</t>
  </si>
  <si>
    <t>RCF Pools</t>
  </si>
  <si>
    <t>Reg Munc of Niagara</t>
  </si>
  <si>
    <t>Relax Pools</t>
  </si>
  <si>
    <t>Milton</t>
  </si>
  <si>
    <t>CompanyName</t>
  </si>
  <si>
    <t>North York</t>
  </si>
  <si>
    <t>CSD 50%</t>
  </si>
  <si>
    <t>CSM 50%</t>
  </si>
  <si>
    <t>HAC 56%</t>
  </si>
  <si>
    <t>HAC 92%</t>
  </si>
  <si>
    <t>CP 30%</t>
  </si>
  <si>
    <t>CS 18%</t>
  </si>
  <si>
    <t>CS 25%</t>
  </si>
  <si>
    <t>Chromic</t>
  </si>
  <si>
    <t>CS 15%</t>
  </si>
  <si>
    <t>HAC 99.5%</t>
  </si>
  <si>
    <t>HCL 31.45%</t>
  </si>
  <si>
    <t>HCL 37%</t>
  </si>
  <si>
    <t>HPF 35%</t>
  </si>
  <si>
    <t>Bril Tak</t>
  </si>
  <si>
    <t>Sun Parlour Greenhouse Growers Co-op</t>
  </si>
  <si>
    <t>Syncoat Paint and Chemicals</t>
  </si>
  <si>
    <t>Technical Adhesives</t>
  </si>
  <si>
    <t>Thomas Canning (Maidstone) Ltd</t>
  </si>
  <si>
    <t>Maidstone</t>
  </si>
  <si>
    <t>Mallory Industries Inc</t>
  </si>
  <si>
    <t>Port Stanley</t>
  </si>
  <si>
    <t>Norampac Inc (Bramalea Plt)</t>
  </si>
  <si>
    <t>Malp</t>
  </si>
  <si>
    <t>Napanee</t>
  </si>
  <si>
    <t>Maple Leaf Pork</t>
  </si>
  <si>
    <t>Meritor Automotive Inc</t>
  </si>
  <si>
    <t>Tilbury</t>
  </si>
  <si>
    <t>Min Of Natural Resources</t>
  </si>
  <si>
    <t>Minute Maid Canada Inc</t>
  </si>
  <si>
    <t>Modern Dyers</t>
  </si>
  <si>
    <t>Modern Mosaic</t>
  </si>
  <si>
    <t>Mohawk Hospital Services Inc</t>
  </si>
  <si>
    <t>Multi-Blend Ltd</t>
  </si>
  <si>
    <t>Ajax</t>
  </si>
  <si>
    <t>Georgia Pacfic</t>
  </si>
  <si>
    <t>TOTALS</t>
  </si>
  <si>
    <t>Houghton (Flex-N-Gate Seeburn)</t>
  </si>
  <si>
    <t>Montreal</t>
  </si>
  <si>
    <t>KanDu Pools (Niagara Falls)</t>
  </si>
  <si>
    <t>KanDu Pools (Sherkston Shores)</t>
  </si>
  <si>
    <t>KanDu Pools (St Catherines)</t>
  </si>
  <si>
    <t>KanDu Pools (YMCA)</t>
  </si>
  <si>
    <t>UniFirst Canada Ltd</t>
  </si>
  <si>
    <t>Bunge Canada - Boiler Room</t>
  </si>
  <si>
    <t>Bunge Canada - De Gumming</t>
  </si>
  <si>
    <t>Camco Inc</t>
  </si>
  <si>
    <t>Canadian Chemical Cleaning</t>
  </si>
  <si>
    <t>Waterdown</t>
  </si>
  <si>
    <t>Canroof Corporation Inc</t>
  </si>
  <si>
    <t>Canvil</t>
  </si>
  <si>
    <t>Cascades Boxboard Inc.  Toronto Mill</t>
  </si>
  <si>
    <t>Casco Inc</t>
  </si>
  <si>
    <t>Fisherville</t>
  </si>
  <si>
    <t>International Pool &amp; Spa</t>
  </si>
  <si>
    <t>Molson Canada</t>
  </si>
  <si>
    <t>Tonolli Company Of Canada Ltd</t>
  </si>
  <si>
    <t>Kingsway Chocolate</t>
  </si>
  <si>
    <t>Bob Chambers</t>
  </si>
  <si>
    <t>Supreme Plating</t>
  </si>
  <si>
    <t>Chromeshield Co</t>
  </si>
  <si>
    <t>Barrie</t>
  </si>
  <si>
    <t>Wallaceburg</t>
  </si>
  <si>
    <t>Dura Paint</t>
  </si>
  <si>
    <t>Durez</t>
  </si>
  <si>
    <t>E &amp; E  Technologies</t>
  </si>
  <si>
    <t>East End Plating Co Ltd</t>
  </si>
  <si>
    <t>Easton Coatings Corp</t>
  </si>
  <si>
    <t>Electro Circuit Inc</t>
  </si>
  <si>
    <t>Electro-Kleen Alloy Polishing Ltd</t>
  </si>
  <si>
    <t>Exact Printing Plate Ltd</t>
  </si>
  <si>
    <t>Pleasure World Pools</t>
  </si>
  <si>
    <t>Wellmaster Pipe &amp; Supply  Inc</t>
  </si>
  <si>
    <t>Wildly Delicious</t>
  </si>
  <si>
    <t>Work Wear Corporation Of Cda</t>
  </si>
  <si>
    <t>Wyant Chemicals Ltd</t>
  </si>
  <si>
    <t>UBA TOTAL</t>
  </si>
  <si>
    <t>Silver Pools Sales &amp; Service Inc</t>
  </si>
  <si>
    <t>Six Nations Council Public Works</t>
  </si>
  <si>
    <t>Oshweken</t>
  </si>
  <si>
    <t>Kingsville Fishermens</t>
  </si>
  <si>
    <t>Krupp Hardware Ltd</t>
  </si>
  <si>
    <t>Rerrie's Bait &amp; Tackle</t>
  </si>
  <si>
    <t>Westhill</t>
  </si>
  <si>
    <t>Ridgeway General Store</t>
  </si>
  <si>
    <t>Ridgeway</t>
  </si>
  <si>
    <t>Ripley's Niagara Water Park</t>
  </si>
  <si>
    <t>Rona Cashway Corp</t>
  </si>
  <si>
    <t>Exeter</t>
  </si>
  <si>
    <t>Ross Home Hardware</t>
  </si>
  <si>
    <t>McGregor</t>
  </si>
  <si>
    <t>Seaway Pools &amp; Hot Tub (Newmarket)</t>
  </si>
  <si>
    <t>Pleasure Way Pools (1978) Ltd</t>
  </si>
  <si>
    <t>Pleasure World Pool Service</t>
  </si>
  <si>
    <t>Previous Full Year Analysis</t>
  </si>
  <si>
    <t>YTD Comparision</t>
  </si>
  <si>
    <t>Monthly Comparison</t>
  </si>
  <si>
    <t>Glenco Industries</t>
  </si>
  <si>
    <t>H &amp; E Plating</t>
  </si>
  <si>
    <t>H L Blachford Ltd</t>
  </si>
  <si>
    <t>Haas Corp of Canada (Dana Corp)</t>
  </si>
  <si>
    <t>Allan Candy Co (Cadbury Adams)</t>
  </si>
  <si>
    <t>Oshawa</t>
  </si>
  <si>
    <t>Harrow</t>
  </si>
  <si>
    <t xml:space="preserve"> Monthly Variance (07/06 %)</t>
  </si>
  <si>
    <t>Plessieville</t>
  </si>
  <si>
    <t>City of Burlington (Tansley Woods - indoor)</t>
  </si>
  <si>
    <t>City of Burlington (Aldershot - indoor)</t>
  </si>
  <si>
    <t>City of Burlington (Centennial - indoor)</t>
  </si>
  <si>
    <t>City of Burlington (Coughlan - inddor)</t>
  </si>
  <si>
    <t>City of Burlington (Nelson Pool - outdoor)</t>
  </si>
  <si>
    <t>City of Burlington (Mountainside - outdoor)</t>
  </si>
  <si>
    <t>Tiercon Industries Inc</t>
  </si>
  <si>
    <t>Mississauga</t>
  </si>
  <si>
    <t>Burlington</t>
  </si>
  <si>
    <t>GJ</t>
  </si>
  <si>
    <t xml:space="preserve">Dofasco </t>
  </si>
  <si>
    <t>Aqua Bay Ltd</t>
  </si>
  <si>
    <t>Cannifton</t>
  </si>
  <si>
    <t>Transalta</t>
  </si>
  <si>
    <t>Brantford</t>
  </si>
  <si>
    <t>Maple</t>
  </si>
  <si>
    <t>HCl 29%</t>
  </si>
  <si>
    <t>Independent Corrugator Inc</t>
  </si>
  <si>
    <t>Industrial Treatment Solutions</t>
  </si>
  <si>
    <t>Integra Environmental</t>
  </si>
  <si>
    <t>International Marine Group</t>
  </si>
  <si>
    <t>Jacklyn Industries</t>
  </si>
  <si>
    <t>Jempak Canada Inc</t>
  </si>
  <si>
    <t>Jet Ice</t>
  </si>
  <si>
    <t>Jims Polishing &amp; Buffing</t>
  </si>
  <si>
    <t>KDS Graphics Ltd</t>
  </si>
  <si>
    <t>Kemira Chemicals</t>
  </si>
  <si>
    <t>Carms Pools&amp; Spas</t>
  </si>
  <si>
    <t>Trenton</t>
  </si>
  <si>
    <t>Imperial Flavours</t>
  </si>
  <si>
    <t>Imperial Smelting</t>
  </si>
  <si>
    <t>Inco Ltd</t>
  </si>
  <si>
    <t>Naschem Inc</t>
  </si>
  <si>
    <t>National Tank Cleaning Services</t>
  </si>
  <si>
    <t>Norampac Inc</t>
  </si>
  <si>
    <t>Antomax Automotive Technologies</t>
  </si>
  <si>
    <t>Aquarian Chemicals</t>
  </si>
  <si>
    <t>Argento Plata</t>
  </si>
  <si>
    <t>Brampton</t>
  </si>
  <si>
    <t>Plastcoat Limited</t>
  </si>
  <si>
    <t>Port Colborne Poultry</t>
  </si>
  <si>
    <t>Precison Platers</t>
  </si>
  <si>
    <t>Progressive Anodizers</t>
  </si>
  <si>
    <t>Propak Limited</t>
  </si>
  <si>
    <t>Aqua Blue Pools Spas &amp; Baths</t>
  </si>
  <si>
    <t>Welland</t>
  </si>
  <si>
    <t>Atlantis Hot Tub and Pools Centre</t>
  </si>
  <si>
    <t>Tecumseh</t>
  </si>
  <si>
    <t>KanDu Pools (YM-YWCA)</t>
  </si>
  <si>
    <t>Kingsville</t>
  </si>
  <si>
    <t>Newmarket</t>
  </si>
  <si>
    <t>Aylmer</t>
  </si>
  <si>
    <t>Canadian Linen</t>
  </si>
  <si>
    <t>Cobourg</t>
  </si>
  <si>
    <t>Borg-Warner</t>
  </si>
  <si>
    <t>Quality Pools &amp; Enterprises</t>
  </si>
  <si>
    <t>Fonthill</t>
  </si>
  <si>
    <t>Haas Corp of Canada (North WWT)</t>
  </si>
  <si>
    <t>Lasalle</t>
  </si>
  <si>
    <t>KanDu Pools (Kinsmen Pool)</t>
  </si>
  <si>
    <t>Bunge canada-East Bldg</t>
  </si>
  <si>
    <t>Brenntag(Ville de Que-Boul du Lac)</t>
  </si>
  <si>
    <t>Brenntag(Ville de Que-La Souvcraine)</t>
  </si>
  <si>
    <t>Brenntag(Ville de Que-Rue Notre Dame)</t>
  </si>
  <si>
    <t>Brenntag c/o Tiru</t>
  </si>
  <si>
    <t>Fleischmann`s Yeast</t>
  </si>
  <si>
    <t>Niagara Falls</t>
  </si>
  <si>
    <t>Ancaster</t>
  </si>
  <si>
    <t>Stoney Creek</t>
  </si>
  <si>
    <t>D J Recreational Products</t>
  </si>
  <si>
    <t>Diplomat Pools</t>
  </si>
  <si>
    <t>Pickering</t>
  </si>
  <si>
    <t>Done-Rite Pools &amp; Spas</t>
  </si>
  <si>
    <t>DownRiver Pools</t>
  </si>
  <si>
    <t>Corrunna</t>
  </si>
  <si>
    <t>Drew Chemical Ltd</t>
  </si>
  <si>
    <t>Pools By Angelo</t>
  </si>
  <si>
    <t>Poolside Fine Swimming Pools &amp; Spas</t>
  </si>
  <si>
    <t>Precision Plate</t>
  </si>
  <si>
    <t>Quality Pool &amp; Construction</t>
  </si>
  <si>
    <t>MissCitric 50%</t>
  </si>
  <si>
    <t>MissCP 30%</t>
  </si>
  <si>
    <t>MissCP 45%</t>
  </si>
  <si>
    <t>MissCS 15%</t>
  </si>
  <si>
    <t>MissCS 18%</t>
  </si>
  <si>
    <t>MissCS 25%</t>
  </si>
  <si>
    <t>MissCS 30%</t>
  </si>
  <si>
    <t>MissCSD 50%</t>
  </si>
  <si>
    <t>MissCSM 50%</t>
  </si>
  <si>
    <t>MissFeCl3 37%</t>
  </si>
  <si>
    <t>MissGlycol Ether</t>
  </si>
  <si>
    <t>MissHAC 20%</t>
  </si>
  <si>
    <t>MissHAC 56%</t>
  </si>
  <si>
    <t>MissHAC 6%</t>
  </si>
  <si>
    <t>MissHAC 92%</t>
  </si>
  <si>
    <t>MissHAC 99.5%</t>
  </si>
  <si>
    <t>MissHCl 29%</t>
  </si>
  <si>
    <t>MissHCL 31.45%</t>
  </si>
  <si>
    <t>MissHCL 37%</t>
  </si>
  <si>
    <t>MissHCl Inhib</t>
  </si>
  <si>
    <t>MissHN 35%</t>
  </si>
  <si>
    <t>MissHN 67%</t>
  </si>
  <si>
    <t>MissHP 35%</t>
  </si>
  <si>
    <t>MissHP 50%</t>
  </si>
  <si>
    <t>MissHPC 50%</t>
  </si>
  <si>
    <t>MissHPF 35%</t>
  </si>
  <si>
    <t>VaudCP 30%</t>
  </si>
  <si>
    <t>VaudCP 45%</t>
  </si>
  <si>
    <t>VaudCS 15%</t>
  </si>
  <si>
    <t>VaudCS 18%</t>
  </si>
  <si>
    <t>VaudCS 25%</t>
  </si>
  <si>
    <t>VaudCS 30%</t>
  </si>
  <si>
    <t>VaudCSD 50%</t>
  </si>
  <si>
    <t>VaudCSM 50%</t>
  </si>
  <si>
    <t>VaudFeCl3 37%</t>
  </si>
  <si>
    <t>VaudGlycol Ether</t>
  </si>
  <si>
    <t>VaudHAC 20%</t>
  </si>
  <si>
    <t>VaudHAC 56%</t>
  </si>
  <si>
    <t>VaudHAC 6%</t>
  </si>
  <si>
    <t>VaudHAC 92%</t>
  </si>
  <si>
    <t>VaudHAC 99.5%</t>
  </si>
  <si>
    <t>VaudHCl 29%</t>
  </si>
  <si>
    <t>VaudHCL 31.45%</t>
  </si>
  <si>
    <t>VaudHCL 37%</t>
  </si>
  <si>
    <t>VaudHCl Inhib</t>
  </si>
  <si>
    <t>VaudHN 35%</t>
  </si>
  <si>
    <t>VaudHN 67%</t>
  </si>
  <si>
    <t>VaudHP 35%</t>
  </si>
  <si>
    <t>VaudHP 50%</t>
  </si>
  <si>
    <t>VaudHPC 50%</t>
  </si>
  <si>
    <t>VaudHPF 35%</t>
  </si>
  <si>
    <t>VaudHypo 12%</t>
  </si>
  <si>
    <t>MissPAF 85%</t>
  </si>
  <si>
    <t>MissPAT 50%</t>
  </si>
  <si>
    <t>MissPAT 75%</t>
  </si>
  <si>
    <t>MissPAT 80%</t>
  </si>
  <si>
    <t>MissPAT 85%</t>
  </si>
  <si>
    <t>MissPG</t>
  </si>
  <si>
    <t>MissS Bicarb</t>
  </si>
  <si>
    <t>MissS Gluconate</t>
  </si>
  <si>
    <t>MissS Silicate</t>
  </si>
  <si>
    <t>MissSA 25%</t>
  </si>
  <si>
    <t>MissSA 50%</t>
  </si>
  <si>
    <t>MissSA 93%</t>
  </si>
  <si>
    <t>MissSA Elec</t>
  </si>
  <si>
    <t>MissSBS 15%</t>
  </si>
  <si>
    <t>MissSBS 38%</t>
  </si>
  <si>
    <t>Misssoda ash light</t>
  </si>
  <si>
    <t>MissSulphonic HM</t>
  </si>
  <si>
    <t>MissSulphonic LM</t>
  </si>
  <si>
    <t>MissUAN 28%</t>
  </si>
  <si>
    <t>MISSISSAUGA</t>
  </si>
  <si>
    <t>VAUDREUIL</t>
  </si>
  <si>
    <t>VaudAgile</t>
  </si>
  <si>
    <t>VaudAqua 29%</t>
  </si>
  <si>
    <t>VaudBril Tak</t>
  </si>
  <si>
    <t>Forecast (kg)</t>
  </si>
  <si>
    <t>Variance</t>
  </si>
  <si>
    <t>Clear Choice Pool &amp; Spa</t>
  </si>
  <si>
    <t>Belleville</t>
  </si>
  <si>
    <t>Aerotek Manufacturing (Cametoid)</t>
  </si>
  <si>
    <t>Etobicoke</t>
  </si>
  <si>
    <t>Daymond Aluminum</t>
  </si>
  <si>
    <t>Deb Canada</t>
  </si>
  <si>
    <t>Waterford</t>
  </si>
  <si>
    <t>Dependable Anodizing Ltd</t>
  </si>
  <si>
    <t>ASI Group</t>
  </si>
  <si>
    <t>St. Catherines</t>
  </si>
  <si>
    <t>Associated Tube Industries</t>
  </si>
  <si>
    <t>Atlantic Packaging</t>
  </si>
  <si>
    <t>Atlas Hydraulics Inc</t>
  </si>
  <si>
    <t>Atotech Canada</t>
  </si>
  <si>
    <t>Aurora Photo Engravers Co Ltd</t>
  </si>
  <si>
    <t>Ball Packaging Products</t>
  </si>
  <si>
    <t>Basic Packaging</t>
  </si>
  <si>
    <t>Thrashers Garden Center</t>
  </si>
  <si>
    <t>A&amp;A Metal Cleaning</t>
  </si>
  <si>
    <t xml:space="preserve">ADM Agri-Industries </t>
  </si>
  <si>
    <t>Accurate Textile Co Ltd</t>
  </si>
  <si>
    <t>London</t>
  </si>
  <si>
    <t>MissHypo 12%</t>
  </si>
  <si>
    <t>MissHypo 19%</t>
  </si>
  <si>
    <t>MissMalp</t>
  </si>
  <si>
    <t>MissNon Stick</t>
  </si>
  <si>
    <t>MissPA Green</t>
  </si>
  <si>
    <t>MissPAF 70%</t>
  </si>
  <si>
    <t>MissPAF 75%</t>
  </si>
  <si>
    <t>Last 12 months (kg)</t>
  </si>
  <si>
    <t>Chemfil (Chrysler Windsor WWTP)</t>
  </si>
  <si>
    <t>Hunsinger's</t>
  </si>
  <si>
    <t>A G Simpson Co Ltd (Osha)</t>
  </si>
  <si>
    <t>Lotowater Ltd</t>
  </si>
  <si>
    <t>Scotland Agromart Ltd</t>
  </si>
  <si>
    <t>Scotland</t>
  </si>
  <si>
    <t>Superior Pool Spa &amp; Leisure (Monarch Pool)</t>
  </si>
  <si>
    <t>Superior Pool Spa &amp; Leisure (Summerville Pool)</t>
  </si>
  <si>
    <t>Superior Pool Spa &amp; Leisure (Sunnyside Park)</t>
  </si>
  <si>
    <t>Superior Pool Spa &amp; Leisure (Weston Lions)</t>
  </si>
  <si>
    <t>Surfside Dream Builders</t>
  </si>
  <si>
    <t>Keswick</t>
  </si>
  <si>
    <t>Newalta Industrial Services</t>
  </si>
  <si>
    <t>Oneedon</t>
  </si>
  <si>
    <t>Ontario Chemical Cleaning</t>
  </si>
  <si>
    <t>Oxford Automotive Canada  Ltd</t>
  </si>
  <si>
    <t>Pearlon Products Inc</t>
  </si>
  <si>
    <t xml:space="preserve">Maple Leaf </t>
  </si>
  <si>
    <t>Sherkston</t>
  </si>
  <si>
    <t>Fromages Saputo Ltee s.e.n.c. (Les)</t>
  </si>
  <si>
    <t>Quest Inks and Coatings</t>
  </si>
  <si>
    <t>RHI Canada Inc</t>
  </si>
  <si>
    <t>Rohm &amp; Haas Canada Inc</t>
  </si>
  <si>
    <t>West Hill</t>
  </si>
  <si>
    <t>Rosa Flora Ltd</t>
  </si>
  <si>
    <t>Select Foods</t>
  </si>
  <si>
    <t>Sensibly Clean Inc</t>
  </si>
  <si>
    <t>Shield Plating</t>
  </si>
  <si>
    <t>Snap On Tools Of Canada</t>
  </si>
  <si>
    <t>Space Electroplating Inc</t>
  </si>
  <si>
    <t>Space Mechanical Industries Inc</t>
  </si>
  <si>
    <t>HCl Inhib</t>
  </si>
  <si>
    <t>Culligan Niagara Water Technologies Inc</t>
  </si>
  <si>
    <t>D A Stuart Inc</t>
  </si>
  <si>
    <t>Dana Canada Inc</t>
  </si>
  <si>
    <t>Thorold</t>
  </si>
  <si>
    <t>Dante Group Ltd</t>
  </si>
  <si>
    <t>Pool Place Plus</t>
  </si>
  <si>
    <t>Poolman Group</t>
  </si>
  <si>
    <t>Haas Corp of Canada (Tri-link Plant)</t>
  </si>
  <si>
    <t>Haas Corp of Canada (Truck Plant)</t>
  </si>
  <si>
    <t>Haltech Inc</t>
  </si>
  <si>
    <t>Hamilton Specialty Bar Corpn</t>
  </si>
  <si>
    <t>Hartmann Canada Inc</t>
  </si>
  <si>
    <t>Hawco</t>
  </si>
  <si>
    <t>Hercules Battery Services Ltd</t>
  </si>
  <si>
    <t>Home Hardware Stores Ltd</t>
  </si>
  <si>
    <t>2006 (kg) YTD</t>
  </si>
  <si>
    <t>YTD Variance (07/06 %)</t>
  </si>
  <si>
    <t>Report</t>
  </si>
  <si>
    <t>Parsons Precast</t>
  </si>
  <si>
    <t>Poscor</t>
  </si>
  <si>
    <t>HN 35%</t>
  </si>
  <si>
    <t>Blenheim</t>
  </si>
  <si>
    <t>WB</t>
  </si>
  <si>
    <t>Pioneer Pools (Kingston)</t>
  </si>
  <si>
    <t>City of Toronto (Harris Filtration Plant)</t>
  </si>
  <si>
    <t>2007 (kg) YTD</t>
  </si>
  <si>
    <t>GR Pools</t>
  </si>
  <si>
    <t>ITL Circuits</t>
  </si>
  <si>
    <t>Network Circuits 2000 Inc</t>
  </si>
  <si>
    <t>PAF 85%</t>
  </si>
  <si>
    <t>PAT 85%</t>
  </si>
  <si>
    <t>PA Green</t>
  </si>
  <si>
    <t>S Bicarb</t>
  </si>
  <si>
    <t>SBS 38%</t>
  </si>
  <si>
    <t>Hypo 12%</t>
  </si>
  <si>
    <t>Hypo 19%</t>
  </si>
  <si>
    <t>SBS 15%</t>
  </si>
  <si>
    <t>SA 50%</t>
  </si>
  <si>
    <t>SA 93%</t>
  </si>
  <si>
    <t>Ram Graphics</t>
  </si>
  <si>
    <t>Alumabrite Anodizing Ltd</t>
  </si>
  <si>
    <t>PAT 80%</t>
  </si>
  <si>
    <t>Broadbent Home Hardware</t>
  </si>
  <si>
    <t>Marmora</t>
  </si>
  <si>
    <t>Bud's Spas &amp; Pools</t>
  </si>
  <si>
    <t>Lafarge Asphalt Engineering</t>
  </si>
  <si>
    <t>Lake Erie Steel Company (blast furnace)</t>
  </si>
  <si>
    <t>Nanticoke</t>
  </si>
  <si>
    <t>Lake Erie Steel Company (coke oven)</t>
  </si>
  <si>
    <t>Colourbest Dyers Ltd</t>
  </si>
  <si>
    <t>Smurfit-MBI</t>
  </si>
  <si>
    <t>City of Brantford</t>
  </si>
  <si>
    <t>Mel's Pool Service</t>
  </si>
  <si>
    <t>Fort Erie</t>
  </si>
  <si>
    <t>Chemfil (Damiler/Chrysler Windsor)</t>
  </si>
  <si>
    <t>Chemfil (Ford - Oakville)</t>
  </si>
  <si>
    <t>Chemfil (Ford - St Thomas)</t>
  </si>
  <si>
    <t>Chemfil (Modatek Systems - Milton)</t>
  </si>
  <si>
    <t>HPC 50%</t>
  </si>
  <si>
    <t>Metal Coaters</t>
  </si>
  <si>
    <t>Burford</t>
  </si>
  <si>
    <t>Chemfil (Torcad)</t>
  </si>
  <si>
    <t>Chemfil (Chrysler Bramalea)</t>
  </si>
  <si>
    <t>Chemfil (Chrysler Bramalea - Paint)</t>
  </si>
  <si>
    <t>Chemfil (Chrysler Bramalea - WW)</t>
  </si>
  <si>
    <t>Chemfil (Chrysler Windsor)</t>
  </si>
  <si>
    <t>Yet To Be Found</t>
  </si>
  <si>
    <t>Unassigned</t>
  </si>
  <si>
    <t>Specialty Porcelain Products Inc</t>
  </si>
  <si>
    <t>Steelcase</t>
  </si>
  <si>
    <t>Strataflex</t>
  </si>
  <si>
    <t>Citric</t>
  </si>
  <si>
    <t>Canadian Linen And Uniform Service</t>
  </si>
  <si>
    <t>Horton Quality</t>
  </si>
  <si>
    <t>C &amp; K Painting</t>
  </si>
  <si>
    <t>Data Circuits</t>
  </si>
  <si>
    <t>Camptech II Circuits</t>
  </si>
  <si>
    <t>MG</t>
  </si>
  <si>
    <t>Laural Steel</t>
  </si>
  <si>
    <t>Lawrason's Pool Products Inc</t>
  </si>
  <si>
    <t>Leysons Chemical Products</t>
  </si>
  <si>
    <t>Litho Tech Inc</t>
  </si>
  <si>
    <t>Lockwood Manufacturing</t>
  </si>
  <si>
    <t>M &amp; M Plating Inc</t>
  </si>
  <si>
    <t>M Stanton Electroplating</t>
  </si>
  <si>
    <t>Malecki Drum Inc</t>
  </si>
  <si>
    <t>Houghton Canada Inc</t>
  </si>
  <si>
    <t>Pioneer Pools (Oakville)</t>
  </si>
  <si>
    <t>Heroux Devtek Inc</t>
  </si>
  <si>
    <t>Peterborough Sport &amp; Wellness Center</t>
  </si>
  <si>
    <t>Canadian Luxury Pools Ltd</t>
  </si>
  <si>
    <t>Windsor</t>
  </si>
  <si>
    <t>MissAgile</t>
  </si>
  <si>
    <t>MissAqua 29%</t>
  </si>
  <si>
    <t>MissBril Tak</t>
  </si>
  <si>
    <t>MissChromic</t>
  </si>
  <si>
    <t>MissCitric</t>
  </si>
  <si>
    <t>Picton</t>
  </si>
  <si>
    <t>SA 25%</t>
  </si>
  <si>
    <t>Rainbow Dyeing &amp; Finishing</t>
  </si>
  <si>
    <t>Kraft Canada (Altech)</t>
  </si>
  <si>
    <t>Colonial Pools</t>
  </si>
  <si>
    <t>Enpro</t>
  </si>
  <si>
    <t>IMS Walker Industries</t>
  </si>
  <si>
    <t>Lake Erie Steel Company (rph plant)</t>
  </si>
  <si>
    <t>Kitchener</t>
  </si>
  <si>
    <t>City of Toronto</t>
  </si>
  <si>
    <t>Paramount Canadas Wonderland Inc</t>
  </si>
  <si>
    <t>Vaughan</t>
  </si>
  <si>
    <t>Lakeside Steel</t>
  </si>
  <si>
    <t>Electropac Planar Ltd</t>
  </si>
  <si>
    <t>Quality Precision Anodizing</t>
  </si>
  <si>
    <t>Dunnville</t>
  </si>
  <si>
    <t>St Catharines</t>
  </si>
  <si>
    <t>Tidol Corp</t>
  </si>
  <si>
    <t>Dextran Products</t>
  </si>
  <si>
    <t>Charlesbourg</t>
  </si>
  <si>
    <t>PMC Water Systems</t>
  </si>
  <si>
    <t>Commercial Alcohols</t>
  </si>
  <si>
    <t>Nu-Gro</t>
  </si>
  <si>
    <t>Country Pools &amp; Spas</t>
  </si>
  <si>
    <t>St Thomas</t>
  </si>
  <si>
    <t>Fabricolor Technology</t>
  </si>
  <si>
    <t>Bicks Pickles</t>
  </si>
  <si>
    <t>Universal Drum</t>
  </si>
  <si>
    <t>Norjohn Ltd-Emulsions Division</t>
  </si>
  <si>
    <t>Direct Line Environmental</t>
  </si>
  <si>
    <t>Dodge</t>
  </si>
  <si>
    <t>Dorothea Knitting Mills Ltd</t>
  </si>
  <si>
    <t>Double B Automotive</t>
  </si>
  <si>
    <t>Dura Chrome</t>
  </si>
  <si>
    <t>Oakville</t>
  </si>
  <si>
    <t xml:space="preserve">September 2006 </t>
  </si>
  <si>
    <t>September 2007</t>
  </si>
  <si>
    <t>September 2006</t>
  </si>
  <si>
    <t>VaudChromic</t>
  </si>
  <si>
    <t>VaudCitric</t>
  </si>
  <si>
    <t>VaudCitric 50%</t>
  </si>
  <si>
    <t>Lazy Day Pools</t>
  </si>
  <si>
    <t>Kingston</t>
  </si>
  <si>
    <t>City of Peterborough</t>
  </si>
  <si>
    <t>Peterborough</t>
  </si>
  <si>
    <t>Praxair</t>
  </si>
  <si>
    <t>PAF 75%</t>
  </si>
  <si>
    <t>Product</t>
  </si>
  <si>
    <t>2004 (kg)</t>
  </si>
  <si>
    <t>2005 (kg)</t>
  </si>
  <si>
    <t>Lake Erie Steel Company</t>
  </si>
  <si>
    <t>Norampac Inc (SPB Belleville)</t>
  </si>
  <si>
    <t>Utilities Kingston</t>
  </si>
  <si>
    <t>Vanchem</t>
  </si>
  <si>
    <t>VASP Plating and Screening Inc</t>
  </si>
  <si>
    <t>Ventra Plastics Peterborough</t>
  </si>
  <si>
    <t>Vincor International Inc</t>
  </si>
  <si>
    <t>Amco (Sun Parlour)</t>
  </si>
  <si>
    <t>Virox Technologies Inc</t>
  </si>
  <si>
    <t>Water Energy Technologies</t>
  </si>
  <si>
    <t>Seaway Pools Ltd (Markham)</t>
  </si>
  <si>
    <t>Markham</t>
  </si>
  <si>
    <t>Service Plus Aquatics Inc</t>
  </si>
  <si>
    <t>Haas Corp of Canada (S Power House)</t>
  </si>
  <si>
    <t>SA Elec</t>
  </si>
  <si>
    <t>Sulphonic LM</t>
  </si>
  <si>
    <t>Aqua 29%</t>
  </si>
  <si>
    <t>Pioneer Pools (Brampton)</t>
  </si>
  <si>
    <t>Pioneer Pools (Burlington)</t>
  </si>
  <si>
    <t>Hamilton</t>
  </si>
  <si>
    <t>A G Simpson Co Ltd</t>
  </si>
  <si>
    <t>Scarborough</t>
  </si>
  <si>
    <t>HAC 6%</t>
  </si>
  <si>
    <t>Cambridge</t>
  </si>
  <si>
    <t>Kraft Canada Inc</t>
  </si>
  <si>
    <t>Dominion Colour Corporation</t>
  </si>
  <si>
    <t>Toronto</t>
  </si>
  <si>
    <t>Houghton Canada Inc (DDM Plastics)</t>
  </si>
  <si>
    <t>Tillsonburg</t>
  </si>
  <si>
    <t>Concord</t>
  </si>
  <si>
    <t>Agile</t>
  </si>
  <si>
    <t>Glycol Ether</t>
  </si>
  <si>
    <t>Non Stick</t>
  </si>
  <si>
    <t>S Gluconate</t>
  </si>
  <si>
    <t>S Silicate</t>
  </si>
  <si>
    <t>soda ash light</t>
  </si>
  <si>
    <t>Sulphonic HM</t>
  </si>
  <si>
    <t>A G Simpson Co Ltd (Camb)</t>
  </si>
  <si>
    <t>Hodgkins True Value Hardware</t>
  </si>
  <si>
    <t>Smithville</t>
  </si>
  <si>
    <t>Lakeview WTP (Consultant)</t>
  </si>
  <si>
    <t>Dura Chemicals</t>
  </si>
  <si>
    <t>Ewing Pools</t>
  </si>
  <si>
    <t>Whitby</t>
  </si>
  <si>
    <t>Foster Pools</t>
  </si>
  <si>
    <t>Hastings</t>
  </si>
  <si>
    <t>Gary's Sports &amp; Bait</t>
  </si>
  <si>
    <t>HAC 20%</t>
  </si>
  <si>
    <t>Cooper Plating Inc</t>
  </si>
  <si>
    <t>Crest Circuit Co Ltd</t>
  </si>
  <si>
    <t>Crown Chemical Products</t>
  </si>
  <si>
    <t>Pen K Plating</t>
  </si>
  <si>
    <t>Bronte Creek Prov Park (Ontario Shared Service Bureau)</t>
  </si>
  <si>
    <t>Pioneer (Hamilton-Rymal)</t>
  </si>
  <si>
    <t>Leamington</t>
  </si>
  <si>
    <t>Backyard Watercreations</t>
  </si>
  <si>
    <t>Blue Oceans Pools</t>
  </si>
  <si>
    <t>Wellandport</t>
  </si>
  <si>
    <t>Ontario Power Generation</t>
  </si>
  <si>
    <t>Permanent Pool &amp; Patio</t>
  </si>
  <si>
    <t>Courtice</t>
  </si>
  <si>
    <t>Peterborough District Co-op Svcs</t>
  </si>
  <si>
    <t>VaudHypo 19%</t>
  </si>
  <si>
    <t>VaudMalp</t>
  </si>
  <si>
    <t>VaudNon Stick</t>
  </si>
  <si>
    <t>VaudPA Green</t>
  </si>
  <si>
    <t>VaudPAF 70%</t>
  </si>
  <si>
    <t>VaudPAF 75%</t>
  </si>
  <si>
    <t>VaudPAF 85%</t>
  </si>
  <si>
    <t>VaudPAT 50%</t>
  </si>
  <si>
    <t>VaudPAT 75%</t>
  </si>
  <si>
    <t>VaudPAT 80%</t>
  </si>
  <si>
    <t>VaudPAT 85%</t>
  </si>
  <si>
    <t>VaudPG</t>
  </si>
  <si>
    <t>VaudS Bicarb</t>
  </si>
  <si>
    <t>VaudS Gluconate</t>
  </si>
  <si>
    <t>VaudS Silicate</t>
  </si>
  <si>
    <t>VaudSA 25%</t>
  </si>
  <si>
    <t>VaudSA 50%</t>
  </si>
  <si>
    <t>VaudSA 93%</t>
  </si>
  <si>
    <t>VaudSA Elec</t>
  </si>
  <si>
    <t>VaudSBS 15%</t>
  </si>
  <si>
    <t>VaudSBS 38%</t>
  </si>
  <si>
    <t>Vaudsoda ash light</t>
  </si>
  <si>
    <t>VaudSulphonic HM</t>
  </si>
  <si>
    <t>VaudSulphonic LM</t>
  </si>
  <si>
    <t>VaudUAN 28%</t>
  </si>
  <si>
    <t>Xerox Supplies Development Centre</t>
  </si>
  <si>
    <t>Port Colbourne</t>
  </si>
  <si>
    <t>Catelectric-Dip</t>
  </si>
  <si>
    <t>Cdn Ferro Refractories Inc</t>
  </si>
  <si>
    <t>Century Circuits Inc</t>
  </si>
  <si>
    <t>Charlotte Products</t>
  </si>
  <si>
    <t>Chemfil Canada Ltd</t>
  </si>
  <si>
    <t>Industry</t>
  </si>
  <si>
    <t>Plating</t>
  </si>
  <si>
    <t>Agriculture</t>
  </si>
  <si>
    <t>Chemical Services</t>
  </si>
  <si>
    <t>Energy</t>
  </si>
  <si>
    <t>Steel</t>
  </si>
  <si>
    <t>Waste Treatment</t>
  </si>
  <si>
    <t>Boxes</t>
  </si>
  <si>
    <t>Chemical/Services</t>
  </si>
  <si>
    <t>Food</t>
  </si>
  <si>
    <t>Laboratory</t>
  </si>
  <si>
    <t>Oil</t>
  </si>
  <si>
    <t>Textiles</t>
  </si>
  <si>
    <t>Equipment</t>
  </si>
  <si>
    <t>Manufacturing</t>
  </si>
  <si>
    <t>Cosmetics</t>
  </si>
  <si>
    <t>Mining</t>
  </si>
  <si>
    <t>Battery</t>
  </si>
  <si>
    <t>Industrial</t>
  </si>
  <si>
    <t>Automotive</t>
  </si>
  <si>
    <t>Commercial</t>
  </si>
  <si>
    <t>Municipal</t>
  </si>
  <si>
    <t>Retail</t>
  </si>
  <si>
    <t>Compatibility Report for Copy of Monthly Sales Results.xls</t>
  </si>
  <si>
    <t>Run on 2026-03-30 11:03</t>
  </si>
  <si>
    <t>If the workbook is saved in an earlier file format or opened in an earlier version of Microsoft Excel, the listed features will not be available.</t>
  </si>
  <si>
    <t>Minor loss of fidelity</t>
  </si>
  <si>
    <t># of occurrences</t>
  </si>
  <si>
    <t>Version</t>
  </si>
  <si>
    <t>A table style is applied to a table in this workbook. Table style formatting cannot be displayed in earlier versions of Excel.</t>
  </si>
  <si>
    <t>Account Summary'!A1:D693</t>
  </si>
  <si>
    <t>Excel 97-2003</t>
  </si>
  <si>
    <t>Sector</t>
  </si>
  <si>
    <t>Introduction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</si>
</sst>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0" x14ac:knownFonts="1">
    <font>
      <sz val="10"/>
      <name val="Arial"/>
      <family val="2"/>
    </font>
    <font>
      <sz val="10"/>
      <name val="Arial"/>
      <family val="2"/>
    </font>
    <font>
      <b/>
      <sz val="10"/>
      <name val="MS Sans Serif"/>
      <family val="2"/>
    </font>
    <font>
      <sz val="10"/>
      <name val="MS Sans Serif"/>
      <family val="2"/>
    </font>
    <font>
      <b/>
      <sz val="8"/>
      <color indexed="81"/>
      <name val="Tahoma"/>
      <family val="2"/>
    </font>
    <font>
      <sz val="8"/>
      <color indexed="81"/>
      <name val="Tahoma"/>
      <family val="2"/>
    </font>
    <font>
      <b/>
      <sz val="10"/>
      <name val="Arial"/>
      <family val="2"/>
    </font>
    <font>
      <b/>
      <sz val="10"/>
      <name val="Arial"/>
      <family val="2"/>
    </font>
    <font>
      <u/>
      <sz val="10"/>
      <color indexed="12"/>
      <name val="Arial"/>
      <family val="2"/>
    </font>
    <font>
      <sz val="10"/>
      <name val="Arial"/>
      <family val="2"/>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s>
  <cellStyleXfs count="4">
    <xf numFmtId="0" fontId="0" fillId="0" borderId="0"/>
    <xf numFmtId="43" fontId="1" fillId="0" borderId="0" applyFont="0" applyFill="0" applyBorder="0" applyAlignment="0" applyProtection="0"/>
    <xf numFmtId="0" fontId="8" fillId="0" borderId="0" applyNumberFormat="0" applyFill="0" applyBorder="0" applyAlignment="0" applyProtection="0">
      <alignment vertical="top"/>
      <protection locked="0"/>
    </xf>
    <xf numFmtId="9" fontId="1" fillId="0" borderId="0" applyFont="0" applyFill="0" applyBorder="0" applyAlignment="0" applyProtection="0"/>
  </cellStyleXfs>
  <cellXfs count="53">
    <xf numFmtId="0" fontId="0" fillId="0" borderId="0" xfId="0"/>
    <xf numFmtId="0" fontId="3" fillId="0" borderId="0" xfId="0" applyFont="1"/>
    <xf numFmtId="164" fontId="0" fillId="0" borderId="0" xfId="1" applyNumberFormat="1" applyFont="1"/>
    <xf numFmtId="9" fontId="0" fillId="0" borderId="0" xfId="3" applyFont="1" applyAlignment="1">
      <alignment horizontal="center"/>
    </xf>
    <xf numFmtId="0" fontId="3" fillId="0" borderId="0" xfId="0" applyFont="1" applyAlignment="1">
      <alignment horizontal="left" vertical="top"/>
    </xf>
    <xf numFmtId="0" fontId="7" fillId="0" borderId="1" xfId="0" applyFont="1" applyBorder="1" applyAlignment="1">
      <alignment wrapText="1"/>
    </xf>
    <xf numFmtId="164" fontId="7" fillId="0" borderId="1" xfId="1" applyNumberFormat="1" applyFont="1" applyBorder="1" applyAlignment="1">
      <alignment horizontal="right" wrapText="1"/>
    </xf>
    <xf numFmtId="0" fontId="0" fillId="0" borderId="0" xfId="0" applyAlignment="1">
      <alignment wrapText="1"/>
    </xf>
    <xf numFmtId="0" fontId="7" fillId="0" borderId="0" xfId="0" applyFont="1" applyAlignment="1">
      <alignment horizontal="right" wrapText="1"/>
    </xf>
    <xf numFmtId="9" fontId="0" fillId="0" borderId="0" xfId="3" applyFont="1"/>
    <xf numFmtId="9" fontId="7" fillId="0" borderId="0" xfId="3" applyFont="1" applyAlignment="1">
      <alignment horizontal="right" wrapText="1"/>
    </xf>
    <xf numFmtId="0" fontId="7" fillId="0" borderId="2" xfId="0" applyFont="1" applyBorder="1" applyAlignment="1">
      <alignment horizontal="center" wrapText="1"/>
    </xf>
    <xf numFmtId="0" fontId="0" fillId="0" borderId="2" xfId="0" applyBorder="1" applyAlignment="1">
      <alignment horizontal="center"/>
    </xf>
    <xf numFmtId="164" fontId="7" fillId="0" borderId="3" xfId="1" applyNumberFormat="1" applyFont="1" applyBorder="1" applyAlignment="1">
      <alignment horizontal="right" wrapText="1"/>
    </xf>
    <xf numFmtId="164" fontId="0" fillId="0" borderId="2" xfId="1" applyNumberFormat="1" applyFont="1" applyBorder="1"/>
    <xf numFmtId="0" fontId="7" fillId="0" borderId="2" xfId="0" applyFont="1" applyBorder="1" applyAlignment="1">
      <alignment wrapText="1"/>
    </xf>
    <xf numFmtId="0" fontId="0" fillId="0" borderId="2" xfId="0" applyBorder="1"/>
    <xf numFmtId="0" fontId="7" fillId="0" borderId="0" xfId="0" applyFont="1"/>
    <xf numFmtId="164" fontId="0" fillId="0" borderId="0" xfId="0" applyNumberFormat="1"/>
    <xf numFmtId="0" fontId="7" fillId="0" borderId="1" xfId="0" applyFont="1" applyBorder="1" applyAlignment="1">
      <alignment horizontal="right" wrapText="1"/>
    </xf>
    <xf numFmtId="0" fontId="7" fillId="0" borderId="3" xfId="0" applyFont="1" applyBorder="1" applyAlignment="1">
      <alignment horizontal="center" wrapText="1"/>
    </xf>
    <xf numFmtId="9" fontId="7" fillId="0" borderId="1" xfId="3" applyFont="1" applyBorder="1" applyAlignment="1">
      <alignment horizontal="right" wrapText="1"/>
    </xf>
    <xf numFmtId="0" fontId="7" fillId="0" borderId="1" xfId="0" applyFont="1" applyBorder="1"/>
    <xf numFmtId="164" fontId="0" fillId="0" borderId="2" xfId="0" applyNumberFormat="1" applyBorder="1"/>
    <xf numFmtId="9" fontId="0" fillId="0" borderId="2" xfId="3" applyFont="1" applyBorder="1"/>
    <xf numFmtId="165" fontId="0" fillId="0" borderId="0" xfId="3" applyNumberFormat="1" applyFont="1"/>
    <xf numFmtId="165" fontId="0" fillId="0" borderId="0" xfId="0" applyNumberFormat="1"/>
    <xf numFmtId="165" fontId="0" fillId="0" borderId="0" xfId="3" applyNumberFormat="1" applyFont="1" applyAlignment="1">
      <alignment horizontal="center"/>
    </xf>
    <xf numFmtId="10" fontId="0" fillId="0" borderId="0" xfId="0" applyNumberFormat="1"/>
    <xf numFmtId="0" fontId="1" fillId="0" borderId="0" xfId="0" applyFont="1" applyAlignment="1">
      <alignment horizontal="left" vertical="top"/>
    </xf>
    <xf numFmtId="0" fontId="9" fillId="0" borderId="0" xfId="0" applyFont="1" applyAlignment="1">
      <alignment horizontal="left" vertical="top"/>
    </xf>
    <xf numFmtId="0" fontId="2" fillId="0" borderId="0" xfId="0" applyFont="1" applyAlignment="1">
      <alignment horizontal="left" vertical="top" wrapText="1"/>
    </xf>
    <xf numFmtId="0" fontId="6" fillId="0" borderId="0" xfId="0" applyFont="1" applyAlignment="1">
      <alignment vertical="top" wrapText="1"/>
    </xf>
    <xf numFmtId="0" fontId="0" fillId="0" borderId="0" xfId="0" applyAlignment="1">
      <alignment vertical="top"/>
    </xf>
    <xf numFmtId="0" fontId="3" fillId="0" borderId="0" xfId="0" applyFont="1" applyAlignment="1">
      <alignment horizontal="left" vertical="top" wrapText="1"/>
    </xf>
    <xf numFmtId="0" fontId="3" fillId="0" borderId="4" xfId="0" applyFont="1" applyBorder="1" applyAlignment="1">
      <alignment horizontal="left" vertical="top"/>
    </xf>
    <xf numFmtId="0" fontId="0" fillId="0" borderId="0" xfId="0" applyAlignment="1">
      <alignment horizontal="left" vertical="top"/>
    </xf>
    <xf numFmtId="0" fontId="0" fillId="0" borderId="0" xfId="0" applyAlignment="1">
      <alignment vertical="top" wrapText="1"/>
    </xf>
    <xf numFmtId="0" fontId="0" fillId="0" borderId="6" xfId="0" applyBorder="1" applyAlignment="1">
      <alignment vertical="top" wrapText="1"/>
    </xf>
    <xf numFmtId="0" fontId="0" fillId="0" borderId="5" xfId="0" applyBorder="1" applyAlignment="1">
      <alignment vertical="top" wrapText="1"/>
    </xf>
    <xf numFmtId="0" fontId="0" fillId="0" borderId="9" xfId="0" applyBorder="1" applyAlignment="1">
      <alignment vertical="top" wrapText="1"/>
    </xf>
    <xf numFmtId="0" fontId="0" fillId="0" borderId="8" xfId="0" applyBorder="1" applyAlignment="1">
      <alignment vertical="top" wrapText="1"/>
    </xf>
    <xf numFmtId="0" fontId="6" fillId="0" borderId="0" xfId="0" applyFont="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8" fillId="0" borderId="8" xfId="2" quotePrefix="1" applyNumberFormat="1" applyBorder="1" applyAlignment="1" applyProtection="1">
      <alignment horizontal="center" vertical="top" wrapText="1"/>
    </xf>
    <xf numFmtId="0" fontId="0" fillId="0" borderId="10" xfId="0" applyBorder="1" applyAlignment="1">
      <alignment horizontal="center" vertical="top" wrapText="1"/>
    </xf>
    <xf numFmtId="0" fontId="3" fillId="0" borderId="0" xfId="0" applyFont="1" applyAlignment="1">
      <alignment vertical="top"/>
    </xf>
    <xf numFmtId="0" fontId="3" fillId="0" borderId="0" xfId="0" applyFont="1" applyAlignment="1">
      <alignment vertical="top" wrapText="1"/>
    </xf>
    <xf numFmtId="0" fontId="7" fillId="0" borderId="0" xfId="0" applyFont="1" applyAlignment="1">
      <alignment horizontal="center"/>
    </xf>
    <xf numFmtId="164" fontId="7" fillId="0" borderId="0" xfId="1" applyNumberFormat="1" applyFont="1" applyAlignment="1">
      <alignment horizontal="center"/>
    </xf>
  </cellXfs>
  <cellStyles count="4">
    <cellStyle name="Comma" xfId="1" builtinId="3"/>
    <cellStyle name="Hyperlink" xfId="2" builtinId="8"/>
    <cellStyle name="Normal" xfId="0" builtinId="0"/>
    <cellStyle name="Percent" xfId="3" builtinId="5"/>
  </cellStyles>
  <dxfs count="7">
    <dxf>
      <font>
        <b val="0"/>
        <i val="0"/>
        <strike val="0"/>
        <condense val="0"/>
        <extend val="0"/>
        <outline val="0"/>
        <shadow val="0"/>
        <u val="none"/>
        <vertAlign val="baseline"/>
        <sz val="10"/>
        <color auto="1"/>
        <name val="MS Sans Serif"/>
        <family val="2"/>
        <scheme val="none"/>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MS Sans Serif"/>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MS Sans Serif"/>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MS Sans Serif"/>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MS Sans Serif"/>
        <family val="2"/>
        <scheme val="none"/>
      </font>
      <alignment horizontal="left"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CF3A0B-BC32-4E06-985E-A71CA88C6893}" name="Table1" displayName="Table1" ref="A1:E372" totalsRowShown="0" headerRowDxfId="6" dataDxfId="5">
  <autoFilter ref="A1:E372" xr:uid="{67CF3A0B-BC32-4E06-985E-A71CA88C6893}">
    <filterColumn colId="1">
      <filters>
        <filter val="Industrial"/>
      </filters>
    </filterColumn>
    <filterColumn colId="2">
      <filters>
        <filter val="Agriculture"/>
        <filter val="Battery"/>
        <filter val="Boxes"/>
        <filter val="Chemical/Services"/>
        <filter val="Laboratory"/>
        <filter val="Plating"/>
      </filters>
    </filterColumn>
  </autoFilter>
  <sortState xmlns:xlrd2="http://schemas.microsoft.com/office/spreadsheetml/2017/richdata2" ref="A2:D372">
    <sortCondition descending="1" ref="C1:C372"/>
  </sortState>
  <tableColumns count="5">
    <tableColumn id="1" xr3:uid="{28F4E90D-E4C3-471B-81DA-BE58587C91BC}" name="CompanyName" dataDxfId="4"/>
    <tableColumn id="2" xr3:uid="{26FB9E7B-1255-42CF-B8AC-18F73F5061B2}" name="Sector" dataDxfId="3"/>
    <tableColumn id="76" xr3:uid="{C054FF27-C0CF-4973-B80F-18F56ABCCDA8}" name="Industry" dataDxfId="2"/>
    <tableColumn id="3" xr3:uid="{4E117C36-C596-4426-A59E-7D56F8AFD3A0}" name="City" dataDxfId="1"/>
    <tableColumn id="77" xr3:uid="{ADADCC35-6FC9-4E74-83B8-8AD3525C19A8}" name="Introduction Script" dataDxfId="0">
      <calculatedColumnFormula>IF(A2="","","Hello, my name is Rob Lee from Eclipsewater Technology and Services. I'm reaching out to "&amp;A2&amp;" because we specialize in providing industrial water treatment solutions for companies in the "&amp;B2&amp;" sector"&amp;IF(C2&lt;&gt;"", ", particularly those in the "&amp;C2&amp;"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")&amp;A2&amp;"'s water treatment needs. I'd love to schedule a brief call to learn more about your operations and share how we've helped similar "&amp;B2&amp;" companies achieve their water quality and sustainability goals. Would you have some time this week or next to connect?")</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0FB2-3CCA-4476-8AD5-8F202FB2B7F3}">
  <dimension ref="A1:E372"/>
  <sheetViews>
    <sheetView tabSelected="1" zoomScale="116" zoomScaleNormal="116" zoomScaleSheetLayoutView="75" workbookViewId="0">
      <pane xSplit="4" ySplit="1" topLeftCell="E10" activePane="bottomRight" state="frozen"/>
      <selection pane="topRight" activeCell="AK1" sqref="AK1"/>
      <selection pane="bottomLeft" activeCell="A2" sqref="A2"/>
      <selection pane="bottomRight" activeCell="A12" sqref="A12"/>
    </sheetView>
  </sheetViews>
  <sheetFormatPr defaultColWidth="9.21875" defaultRowHeight="13.2" x14ac:dyDescent="0.25"/>
  <cols>
    <col min="1" max="1" width="46.77734375" style="30" bestFit="1" customWidth="1"/>
    <col min="2" max="3" width="33.6640625" style="30" customWidth="1"/>
    <col min="4" max="4" width="17.21875" style="30" bestFit="1" customWidth="1"/>
    <col min="5" max="5" width="72.77734375" style="33" customWidth="1"/>
    <col min="6" max="16384" width="9.21875" style="33"/>
  </cols>
  <sheetData>
    <row r="1" spans="1:5" s="32" customFormat="1" x14ac:dyDescent="0.25">
      <c r="A1" s="31" t="s">
        <v>95</v>
      </c>
      <c r="B1" s="31" t="s">
        <v>695</v>
      </c>
      <c r="C1" s="31" t="s">
        <v>663</v>
      </c>
      <c r="D1" s="31" t="s">
        <v>59</v>
      </c>
      <c r="E1" s="32" t="s">
        <v>696</v>
      </c>
    </row>
    <row r="2" spans="1:5" ht="126" hidden="1" x14ac:dyDescent="0.25">
      <c r="A2" s="4" t="s">
        <v>402</v>
      </c>
      <c r="B2" s="4" t="s">
        <v>681</v>
      </c>
      <c r="C2" s="4" t="s">
        <v>669</v>
      </c>
      <c r="D2" s="4" t="s">
        <v>216</v>
      </c>
      <c r="E2" s="50" t="str">
        <f t="shared" ref="E2:E64" si="0">IF(A2="","","Hello, my name is Rob Lee from Eclipsewater Technology and Services. I'm reaching out to "&amp;A2&amp;" because we specialize in providing industrial water treatment solutions for companies in the "&amp;B2&amp;" sector"&amp;IF(C2&lt;&gt;"", ", particularly those in the "&amp;C2&amp;"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")&amp;A2&amp;"'s water treatment needs. I'd love to schedule a brief call to learn more about your operations and share how we've helped similar "&amp;B2&amp;" companies achieve their water quality and sustainability goals. Would you have some time this week or next to connect?")</f>
        <v>Hello, my name is Rob Lee from Eclipsewater Technology and Services. I'm reaching out to Newalta Industrial Services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Newalta Industrial Services's water treatment needs. I'd love to schedule a brief call to learn more about your operations and share how we've helped similar Industrial companies achieve their water quality and sustainability goals. Would you have some time this week or next to connect?</v>
      </c>
    </row>
    <row r="3" spans="1:5" ht="126" hidden="1" x14ac:dyDescent="0.25">
      <c r="A3" s="4" t="s">
        <v>235</v>
      </c>
      <c r="B3" s="4" t="s">
        <v>681</v>
      </c>
      <c r="C3" s="4" t="s">
        <v>669</v>
      </c>
      <c r="D3" s="4" t="s">
        <v>209</v>
      </c>
      <c r="E3" s="50" t="str">
        <f t="shared" si="0"/>
        <v>Hello, my name is Rob Lee from Eclipsewater Technology and Services. I'm reaching out to National Tank Cleaning Services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National Tank Cleaning Services's water treatment needs. I'd love to schedule a brief call to learn more about your operations and share how we've helped similar Industrial companies achieve their water quality and sustainability goals. Would you have some time this week or next to connect?</v>
      </c>
    </row>
    <row r="4" spans="1:5" ht="126" hidden="1" x14ac:dyDescent="0.25">
      <c r="A4" s="4" t="s">
        <v>393</v>
      </c>
      <c r="B4" s="4" t="s">
        <v>681</v>
      </c>
      <c r="C4" s="4" t="s">
        <v>669</v>
      </c>
      <c r="D4" s="4" t="s">
        <v>62</v>
      </c>
      <c r="E4" s="50" t="str">
        <f t="shared" si="0"/>
        <v>Hello, my name is Rob Lee from Eclipsewater Technology and Services. I'm reaching out to Lotowater Ltd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Lotowater Ltd's water treatment needs. I'd love to schedule a brief call to learn more about your operations and share how we've helped similar Industrial companies achieve their water quality and sustainability goals. Would you have some time this week or next to connect?</v>
      </c>
    </row>
    <row r="5" spans="1:5" ht="126" hidden="1" x14ac:dyDescent="0.25">
      <c r="A5" s="30" t="s">
        <v>41</v>
      </c>
      <c r="B5" s="4" t="s">
        <v>681</v>
      </c>
      <c r="C5" s="4" t="s">
        <v>669</v>
      </c>
      <c r="D5" s="30" t="s">
        <v>38</v>
      </c>
      <c r="E5" s="50" t="str">
        <f t="shared" si="0"/>
        <v>Hello, my name is Rob Lee from Eclipsewater Technology and Services. I'm reaching out to Lacombe Waste Service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Lacombe Waste Service's water treatment needs. I'd love to schedule a brief call to learn more about your operations and share how we've helped similar Industrial companies achieve their water quality and sustainability goals. Would you have some time this week or next to connect?</v>
      </c>
    </row>
    <row r="6" spans="1:5" ht="126" hidden="1" x14ac:dyDescent="0.25">
      <c r="A6" s="4" t="s">
        <v>220</v>
      </c>
      <c r="B6" s="4" t="s">
        <v>681</v>
      </c>
      <c r="C6" s="4" t="s">
        <v>669</v>
      </c>
      <c r="D6" s="4" t="s">
        <v>612</v>
      </c>
      <c r="E6" s="50" t="str">
        <f t="shared" si="0"/>
        <v>Hello, my name is Rob Lee from Eclipsewater Technology and Services. I'm reaching out to Industrial Treatment Solutions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Industrial Treatment Solutions's water treatment needs. I'd love to schedule a brief call to learn more about your operations and share how we've helped similar Industrial companies achieve their water quality and sustainability goals. Would you have some time this week or next to connect?</v>
      </c>
    </row>
    <row r="7" spans="1:5" ht="126" hidden="1" x14ac:dyDescent="0.25">
      <c r="A7" s="29" t="s">
        <v>525</v>
      </c>
      <c r="B7" s="4" t="s">
        <v>681</v>
      </c>
      <c r="C7" s="4" t="s">
        <v>669</v>
      </c>
      <c r="D7" s="29" t="s">
        <v>268</v>
      </c>
      <c r="E7" s="50" t="str">
        <f t="shared" si="0"/>
        <v>Hello, my name is Rob Lee from Eclipsewater Technology and Services. I'm reaching out to IMS Walker Industries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IMS Walker Industries's water treatment needs. I'd love to schedule a brief call to learn more about your operations and share how we've helped similar Industrial companies achieve their water quality and sustainability goals. Would you have some time this week or next to connect?</v>
      </c>
    </row>
    <row r="8" spans="1:5" ht="126" hidden="1" x14ac:dyDescent="0.25">
      <c r="A8" s="4" t="s">
        <v>11</v>
      </c>
      <c r="B8" s="4" t="s">
        <v>681</v>
      </c>
      <c r="C8" s="4" t="s">
        <v>669</v>
      </c>
      <c r="D8" s="4" t="s">
        <v>209</v>
      </c>
      <c r="E8" s="50" t="str">
        <f t="shared" si="0"/>
        <v>Hello, my name is Rob Lee from Eclipsewater Technology and Services. I'm reaching out to Fielding Chemical Technologies Inc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Fielding Chemical Technologies Inc's water treatment needs. I'd love to schedule a brief call to learn more about your operations and share how we've helped similar Industrial companies achieve their water quality and sustainability goals. Would you have some time this week or next to connect?</v>
      </c>
    </row>
    <row r="9" spans="1:5" ht="126" hidden="1" x14ac:dyDescent="0.25">
      <c r="A9" s="4" t="s">
        <v>548</v>
      </c>
      <c r="B9" s="4" t="s">
        <v>681</v>
      </c>
      <c r="C9" s="4" t="s">
        <v>669</v>
      </c>
      <c r="D9" s="4" t="s">
        <v>273</v>
      </c>
      <c r="E9" s="50" t="str">
        <f t="shared" si="0"/>
        <v>Hello, my name is Rob Lee from Eclipsewater Technology and Services. I'm reaching out to Direct Line Environmental because we specialize in providing industrial water treatment solutions for companies in the Industrial sector, particularly those in the Waste Treatment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Direct Line Environmental's water treatment needs. I'd love to schedule a brief call to learn more about your operations and share how we've helped similar Industrial companies achieve their water quality and sustainability goals. Would you have some time this week or next to connect?</v>
      </c>
    </row>
    <row r="10" spans="1:5" ht="126" hidden="1" x14ac:dyDescent="0.25">
      <c r="A10" s="4" t="s">
        <v>170</v>
      </c>
      <c r="B10" s="4" t="s">
        <v>681</v>
      </c>
      <c r="C10" s="4" t="s">
        <v>675</v>
      </c>
      <c r="D10" s="4" t="s">
        <v>590</v>
      </c>
      <c r="E10" s="50" t="str">
        <f t="shared" si="0"/>
        <v>Hello, my name is Rob Lee from Eclipsewater Technology and Services. I'm reaching out to Work Wear Corporation Of Cda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Work Wear Corporation Of Cda's water treatment needs. I'd love to schedule a brief call to learn more about your operations and share how we've helped similar Industrial companies achieve their water quality and sustainability goals. Would you have some time this week or next to connect?</v>
      </c>
    </row>
    <row r="11" spans="1:5" ht="126" hidden="1" x14ac:dyDescent="0.25">
      <c r="A11" s="4" t="s">
        <v>112</v>
      </c>
      <c r="B11" s="4" t="s">
        <v>681</v>
      </c>
      <c r="C11" s="4" t="s">
        <v>675</v>
      </c>
      <c r="D11" s="4" t="s">
        <v>209</v>
      </c>
      <c r="E11" s="50" t="str">
        <f t="shared" si="0"/>
        <v>Hello, my name is Rob Lee from Eclipsewater Technology and Services. I'm reaching out to Syncoat Paint and Chemicals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Syncoat Paint and Chemicals's water treatment needs. I'd love to schedule a brief call to learn more about your operations and share how we've helped similar Industrial companies achieve their water quality and sustainability goals. Would you have some time this week or next to connect?</v>
      </c>
    </row>
    <row r="12" spans="1:5" ht="126" hidden="1" x14ac:dyDescent="0.25">
      <c r="A12" s="4" t="s">
        <v>492</v>
      </c>
      <c r="B12" s="4" t="s">
        <v>681</v>
      </c>
      <c r="C12" s="4" t="s">
        <v>675</v>
      </c>
      <c r="D12" s="4" t="s">
        <v>595</v>
      </c>
      <c r="E12" s="50" t="str">
        <f t="shared" si="0"/>
        <v>Hello, my name is Rob Lee from Eclipsewater Technology and Services. I'm reaching out to Strataflex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Strataflex's water treatment needs. I'd love to schedule a brief call to learn more about your operations and share how we've helped similar Industrial companies achieve their water quality and sustainability goals. Would you have some time this week or next to connect?</v>
      </c>
    </row>
    <row r="13" spans="1:5" ht="126" hidden="1" x14ac:dyDescent="0.25">
      <c r="A13" s="4" t="s">
        <v>521</v>
      </c>
      <c r="B13" s="4" t="s">
        <v>681</v>
      </c>
      <c r="C13" s="4" t="s">
        <v>675</v>
      </c>
      <c r="D13" s="4" t="s">
        <v>209</v>
      </c>
      <c r="E13" s="50" t="str">
        <f t="shared" si="0"/>
        <v>Hello, my name is Rob Lee from Eclipsewater Technology and Services. I'm reaching out to Rainbow Dyeing &amp; Finishing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Rainbow Dyeing &amp; Finishing's water treatment needs. I'd love to schedule a brief call to learn more about your operations and share how we've helped similar Industrial companies achieve their water quality and sustainability goals. Would you have some time this week or next to connect?</v>
      </c>
    </row>
    <row r="14" spans="1:5" ht="126" hidden="1" x14ac:dyDescent="0.25">
      <c r="A14" s="4" t="s">
        <v>126</v>
      </c>
      <c r="B14" s="4" t="s">
        <v>681</v>
      </c>
      <c r="C14" s="4" t="s">
        <v>675</v>
      </c>
      <c r="D14" s="4" t="s">
        <v>595</v>
      </c>
      <c r="E14" s="50" t="str">
        <f t="shared" si="0"/>
        <v>Hello, my name is Rob Lee from Eclipsewater Technology and Services. I'm reaching out to Modern Dyers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Modern Dyers's water treatment needs. I'd love to schedule a brief call to learn more about your operations and share how we've helped similar Industrial companies achieve their water quality and sustainability goals. Would you have some time this week or next to connect?</v>
      </c>
    </row>
    <row r="15" spans="1:5" ht="126" hidden="1" x14ac:dyDescent="0.25">
      <c r="A15" s="4" t="s">
        <v>23</v>
      </c>
      <c r="B15" s="4" t="s">
        <v>681</v>
      </c>
      <c r="C15" s="4" t="s">
        <v>675</v>
      </c>
      <c r="D15" s="4" t="s">
        <v>590</v>
      </c>
      <c r="E15" s="50" t="str">
        <f t="shared" si="0"/>
        <v>Hello, my name is Rob Lee from Eclipsewater Technology and Services. I'm reaching out to Gentry Knitting Mills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Gentry Knitting Mills's water treatment needs. I'd love to schedule a brief call to learn more about your operations and share how we've helped similar Industrial companies achieve their water quality and sustainability goals. Would you have some time this week or next to connect?</v>
      </c>
    </row>
    <row r="16" spans="1:5" ht="126" hidden="1" x14ac:dyDescent="0.25">
      <c r="A16" s="4" t="s">
        <v>544</v>
      </c>
      <c r="B16" s="4" t="s">
        <v>681</v>
      </c>
      <c r="C16" s="4" t="s">
        <v>675</v>
      </c>
      <c r="D16" s="4" t="s">
        <v>595</v>
      </c>
      <c r="E16" s="50" t="str">
        <f t="shared" si="0"/>
        <v>Hello, my name is Rob Lee from Eclipsewater Technology and Services. I'm reaching out to Fabricolor Technology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Fabricolor Technology's water treatment needs. I'd love to schedule a brief call to learn more about your operations and share how we've helped similar Industrial companies achieve their water quality and sustainability goals. Would you have some time this week or next to connect?</v>
      </c>
    </row>
    <row r="17" spans="1:5" ht="126" hidden="1" x14ac:dyDescent="0.25">
      <c r="A17" s="4" t="s">
        <v>159</v>
      </c>
      <c r="B17" s="4" t="s">
        <v>681</v>
      </c>
      <c r="C17" s="4" t="s">
        <v>675</v>
      </c>
      <c r="D17" s="4" t="s">
        <v>590</v>
      </c>
      <c r="E17" s="50" t="str">
        <f t="shared" si="0"/>
        <v>Hello, my name is Rob Lee from Eclipsewater Technology and Services. I'm reaching out to Dura Paint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Dura Paint's water treatment needs. I'd love to schedule a brief call to learn more about your operations and share how we've helped similar Industrial companies achieve their water quality and sustainability goals. Would you have some time this week or next to connect?</v>
      </c>
    </row>
    <row r="18" spans="1:5" ht="126" hidden="1" x14ac:dyDescent="0.25">
      <c r="A18" s="4" t="s">
        <v>550</v>
      </c>
      <c r="B18" s="4" t="s">
        <v>681</v>
      </c>
      <c r="C18" s="4" t="s">
        <v>675</v>
      </c>
      <c r="D18" s="4" t="s">
        <v>595</v>
      </c>
      <c r="E18" s="50" t="str">
        <f t="shared" si="0"/>
        <v>Hello, my name is Rob Lee from Eclipsewater Technology and Services. I'm reaching out to Dorothea Knitting Mills Ltd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Dorothea Knitting Mills Ltd's water treatment needs. I'd love to schedule a brief call to learn more about your operations and share how we've helped similar Industrial companies achieve their water quality and sustainability goals. Would you have some time this week or next to connect?</v>
      </c>
    </row>
    <row r="19" spans="1:5" ht="126" hidden="1" x14ac:dyDescent="0.25">
      <c r="A19" s="4" t="s">
        <v>594</v>
      </c>
      <c r="B19" s="4" t="s">
        <v>681</v>
      </c>
      <c r="C19" s="4" t="s">
        <v>675</v>
      </c>
      <c r="D19" s="4" t="s">
        <v>130</v>
      </c>
      <c r="E19" s="50" t="str">
        <f t="shared" si="0"/>
        <v>Hello, my name is Rob Lee from Eclipsewater Technology and Services. I'm reaching out to Dominion Colour Corporation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Dominion Colour Corporation's water treatment needs. I'd love to schedule a brief call to learn more about your operations and share how we've helped similar Industrial companies achieve their water quality and sustainability goals. Would you have some time this week or next to connect?</v>
      </c>
    </row>
    <row r="20" spans="1:5" ht="126" hidden="1" x14ac:dyDescent="0.25">
      <c r="A20" s="4" t="s">
        <v>471</v>
      </c>
      <c r="B20" s="4" t="s">
        <v>681</v>
      </c>
      <c r="C20" s="4" t="s">
        <v>675</v>
      </c>
      <c r="D20" s="4" t="s">
        <v>595</v>
      </c>
      <c r="E20" s="50" t="str">
        <f t="shared" si="0"/>
        <v>Hello, my name is Rob Lee from Eclipsewater Technology and Services. I'm reaching out to Colourbest Dyers Ltd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Colourbest Dyers Ltd's water treatment needs. I'd love to schedule a brief call to learn more about your operations and share how we've helped similar Industrial companies achieve their water quality and sustainability goals. Would you have some time this week or next to connect?</v>
      </c>
    </row>
    <row r="21" spans="1:5" ht="126" hidden="1" x14ac:dyDescent="0.25">
      <c r="A21" s="4" t="s">
        <v>0</v>
      </c>
      <c r="B21" s="4" t="s">
        <v>681</v>
      </c>
      <c r="C21" s="4" t="s">
        <v>675</v>
      </c>
      <c r="D21" s="4" t="s">
        <v>216</v>
      </c>
      <c r="E21" s="50" t="str">
        <f t="shared" si="0"/>
        <v>Hello, my name is Rob Lee from Eclipsewater Technology and Services. I'm reaching out to Brantford Dyers &amp; Finishers Inc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Brantford Dyers &amp; Finishers Inc's water treatment needs. I'd love to schedule a brief call to learn more about your operations and share how we've helped similar Industrial companies achieve their water quality and sustainability goals. Would you have some time this week or next to connect?</v>
      </c>
    </row>
    <row r="22" spans="1:5" ht="126" hidden="1" x14ac:dyDescent="0.25">
      <c r="A22" s="4" t="s">
        <v>29</v>
      </c>
      <c r="B22" s="4" t="s">
        <v>681</v>
      </c>
      <c r="C22" s="4" t="s">
        <v>675</v>
      </c>
      <c r="D22" s="4" t="s">
        <v>209</v>
      </c>
      <c r="E22" s="50" t="str">
        <f t="shared" si="0"/>
        <v>Hello, my name is Rob Lee from Eclipsewater Technology and Services. I'm reaching out to Body Blue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Body Blue's water treatment needs. I'd love to schedule a brief call to learn more about your operations and share how we've helped similar Industrial companies achieve their water quality and sustainability goals. Would you have some time this week or next to connect?</v>
      </c>
    </row>
    <row r="23" spans="1:5" ht="126" hidden="1" x14ac:dyDescent="0.25">
      <c r="A23" s="4" t="s">
        <v>26</v>
      </c>
      <c r="B23" s="4" t="s">
        <v>681</v>
      </c>
      <c r="C23" s="4" t="s">
        <v>675</v>
      </c>
      <c r="D23" s="4" t="s">
        <v>588</v>
      </c>
      <c r="E23" s="50" t="str">
        <f t="shared" si="0"/>
        <v>Hello, my name is Rob Lee from Eclipsewater Technology and Services. I'm reaching out to Ben David Dyeing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Ben David Dyeing's water treatment needs. I'd love to schedule a brief call to learn more about your operations and share how we've helped similar Industrial companies achieve their water quality and sustainability goals. Would you have some time this week or next to connect?</v>
      </c>
    </row>
    <row r="24" spans="1:5" ht="126" hidden="1" x14ac:dyDescent="0.25">
      <c r="A24" s="4" t="s">
        <v>462</v>
      </c>
      <c r="B24" s="4" t="s">
        <v>681</v>
      </c>
      <c r="C24" s="4" t="s">
        <v>675</v>
      </c>
      <c r="D24" s="4" t="s">
        <v>588</v>
      </c>
      <c r="E24" s="50" t="str">
        <f t="shared" si="0"/>
        <v>Hello, my name is Rob Lee from Eclipsewater Technology and Services. I'm reaching out to Alumabrite Anodizing Ltd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Alumabrite Anodizing Ltd's water treatment needs. I'd love to schedule a brief call to learn more about your operations and share how we've helped similar Industrial companies achieve their water quality and sustainability goals. Would you have some time this week or next to connect?</v>
      </c>
    </row>
    <row r="25" spans="1:5" ht="126" hidden="1" x14ac:dyDescent="0.25">
      <c r="A25" s="4" t="s">
        <v>79</v>
      </c>
      <c r="B25" s="4" t="s">
        <v>681</v>
      </c>
      <c r="C25" s="4" t="s">
        <v>675</v>
      </c>
      <c r="D25" s="4" t="s">
        <v>130</v>
      </c>
      <c r="E25" s="50" t="str">
        <f t="shared" si="0"/>
        <v>Hello, my name is Rob Lee from Eclipsewater Technology and Services. I'm reaching out to Ajax Textile Processing Co Ltd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Ajax Textile Processing Co Ltd's water treatment needs. I'd love to schedule a brief call to learn more about your operations and share how we've helped similar Industrial companies achieve their water quality and sustainability goals. Would you have some time this week or next to connect?</v>
      </c>
    </row>
    <row r="26" spans="1:5" ht="126" hidden="1" x14ac:dyDescent="0.25">
      <c r="A26" s="4" t="s">
        <v>78</v>
      </c>
      <c r="B26" s="4" t="s">
        <v>681</v>
      </c>
      <c r="C26" s="4" t="s">
        <v>675</v>
      </c>
      <c r="D26" s="4" t="s">
        <v>130</v>
      </c>
      <c r="E26" s="50" t="str">
        <f t="shared" si="0"/>
        <v>Hello, my name is Rob Lee from Eclipsewater Technology and Services. I'm reaching out to Advanced Surface Treatments Inc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Advanced Surface Treatments Inc's water treatment needs. I'd love to schedule a brief call to learn more about your operations and share how we've helped similar Industrial companies achieve their water quality and sustainability goals. Would you have some time this week or next to connect?</v>
      </c>
    </row>
    <row r="27" spans="1:5" ht="126" hidden="1" x14ac:dyDescent="0.25">
      <c r="A27" s="4" t="s">
        <v>380</v>
      </c>
      <c r="B27" s="4" t="s">
        <v>681</v>
      </c>
      <c r="C27" s="4" t="s">
        <v>675</v>
      </c>
      <c r="D27" s="4" t="s">
        <v>595</v>
      </c>
      <c r="E27" s="50" t="str">
        <f t="shared" si="0"/>
        <v>Hello, my name is Rob Lee from Eclipsewater Technology and Services. I'm reaching out to Accurate Textile Co Ltd because we specialize in providing industrial water treatment solutions for companies in the Industrial sector, particularly those in the Textiles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Accurate Textile Co Ltd's water treatment needs. I'd love to schedule a brief call to learn more about your operations and share how we've helped similar Industrial companies achieve their water quality and sustainability goals. Would you have some time this week or next to connect?</v>
      </c>
    </row>
    <row r="28" spans="1:5" ht="126" hidden="1" x14ac:dyDescent="0.25">
      <c r="A28" s="4" t="s">
        <v>411</v>
      </c>
      <c r="B28" s="4" t="s">
        <v>681</v>
      </c>
      <c r="C28" s="4" t="s">
        <v>668</v>
      </c>
      <c r="D28" s="4" t="s">
        <v>210</v>
      </c>
      <c r="E28" s="50" t="str">
        <f t="shared" si="0"/>
        <v>Hello, my name is Rob Lee from Eclipsewater Technology and Services. I'm reaching out to RHI Canada Inc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RHI Canada Inc's water treatment needs. I'd love to schedule a brief call to learn more about your operations and share how we've helped similar Industrial companies achieve their water quality and sustainability goals. Would you have some time this week or next to connect?</v>
      </c>
    </row>
    <row r="29" spans="1:5" ht="113.4" hidden="1" x14ac:dyDescent="0.25">
      <c r="A29" s="29" t="s">
        <v>441</v>
      </c>
      <c r="B29" s="4" t="s">
        <v>681</v>
      </c>
      <c r="C29" s="4" t="s">
        <v>668</v>
      </c>
      <c r="D29" s="29" t="s">
        <v>588</v>
      </c>
      <c r="E29" s="50" t="str">
        <f t="shared" si="0"/>
        <v>Hello, my name is Rob Lee from Eclipsewater Technology and Services. I'm reaching out to Poscor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Poscor's water treatment needs. I'd love to schedule a brief call to learn more about your operations and share how we've helped similar Industrial companies achieve their water quality and sustainability goals. Would you have some time this week or next to connect?</v>
      </c>
    </row>
    <row r="30" spans="1:5" ht="126" hidden="1" x14ac:dyDescent="0.25">
      <c r="A30" s="4" t="s">
        <v>526</v>
      </c>
      <c r="B30" s="4" t="s">
        <v>681</v>
      </c>
      <c r="C30" s="4" t="s">
        <v>668</v>
      </c>
      <c r="D30" s="4" t="s">
        <v>469</v>
      </c>
      <c r="E30" s="50" t="str">
        <f t="shared" si="0"/>
        <v>Hello, my name is Rob Lee from Eclipsewater Technology and Services. I'm reaching out to Lake Erie Steel Company (rph plant)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Lake Erie Steel Company (rph plant)'s water treatment needs. I'd love to schedule a brief call to learn more about your operations and share how we've helped similar Industrial companies achieve their water quality and sustainability goals. Would you have some time this week or next to connect?</v>
      </c>
    </row>
    <row r="31" spans="1:5" ht="126" hidden="1" x14ac:dyDescent="0.25">
      <c r="A31" s="4" t="s">
        <v>470</v>
      </c>
      <c r="B31" s="4" t="s">
        <v>681</v>
      </c>
      <c r="C31" s="4" t="s">
        <v>668</v>
      </c>
      <c r="D31" s="4" t="s">
        <v>469</v>
      </c>
      <c r="E31" s="50" t="str">
        <f t="shared" si="0"/>
        <v>Hello, my name is Rob Lee from Eclipsewater Technology and Services. I'm reaching out to Lake Erie Steel Company (coke oven)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Lake Erie Steel Company (coke oven)'s water treatment needs. I'd love to schedule a brief call to learn more about your operations and share how we've helped similar Industrial companies achieve their water quality and sustainability goals. Would you have some time this week or next to connect?</v>
      </c>
    </row>
    <row r="32" spans="1:5" ht="126" hidden="1" x14ac:dyDescent="0.25">
      <c r="A32" s="4" t="s">
        <v>468</v>
      </c>
      <c r="B32" s="4" t="s">
        <v>681</v>
      </c>
      <c r="C32" s="4" t="s">
        <v>668</v>
      </c>
      <c r="D32" s="4" t="s">
        <v>469</v>
      </c>
      <c r="E32" s="50" t="str">
        <f t="shared" si="0"/>
        <v>Hello, my name is Rob Lee from Eclipsewater Technology and Services. I'm reaching out to Lake Erie Steel Company (blast furnace)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Lake Erie Steel Company (blast furnace)'s water treatment needs. I'd love to schedule a brief call to learn more about your operations and share how we've helped similar Industrial companies achieve their water quality and sustainability goals. Would you have some time this week or next to connect?</v>
      </c>
    </row>
    <row r="33" spans="1:5" ht="126" hidden="1" x14ac:dyDescent="0.25">
      <c r="A33" s="29" t="s">
        <v>569</v>
      </c>
      <c r="B33" s="4" t="s">
        <v>681</v>
      </c>
      <c r="C33" s="4" t="s">
        <v>668</v>
      </c>
      <c r="D33" s="29" t="s">
        <v>469</v>
      </c>
      <c r="E33" s="50" t="str">
        <f t="shared" si="0"/>
        <v>Hello, my name is Rob Lee from Eclipsewater Technology and Services. I'm reaching out to Lake Erie Steel Company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Lake Erie Steel Company's water treatment needs. I'd love to schedule a brief call to learn more about your operations and share how we've helped similar Industrial companies achieve their water quality and sustainability goals. Would you have some time this week or next to connect?</v>
      </c>
    </row>
    <row r="34" spans="1:5" ht="126" hidden="1" x14ac:dyDescent="0.25">
      <c r="A34" s="4" t="s">
        <v>232</v>
      </c>
      <c r="B34" s="4" t="s">
        <v>681</v>
      </c>
      <c r="C34" s="4" t="s">
        <v>668</v>
      </c>
      <c r="D34" s="4" t="s">
        <v>580</v>
      </c>
      <c r="E34" s="50" t="str">
        <f t="shared" si="0"/>
        <v>Hello, my name is Rob Lee from Eclipsewater Technology and Services. I'm reaching out to Imperial Smelting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Imperial Smelting's water treatment needs. I'd love to schedule a brief call to learn more about your operations and share how we've helped similar Industrial companies achieve their water quality and sustainability goals. Would you have some time this week or next to connect?</v>
      </c>
    </row>
    <row r="35" spans="1:5" ht="126" hidden="1" x14ac:dyDescent="0.25">
      <c r="A35" s="29" t="s">
        <v>212</v>
      </c>
      <c r="B35" s="4" t="s">
        <v>681</v>
      </c>
      <c r="C35" s="4" t="s">
        <v>668</v>
      </c>
      <c r="D35" s="29" t="s">
        <v>588</v>
      </c>
      <c r="E35" s="50" t="str">
        <f t="shared" si="0"/>
        <v>Hello, my name is Rob Lee from Eclipsewater Technology and Services. I'm reaching out to Dofasco  because we specialize in providing industrial water treatment solutions for companies in the Industrial sector, particularly those in the Steel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Dofasco 's water treatment needs. I'd love to schedule a brief call to learn more about your operations and share how we've helped similar Industrial companies achieve their water quality and sustainability goals. Would you have some time this week or next to connect?</v>
      </c>
    </row>
    <row r="36" spans="1:5" ht="126" x14ac:dyDescent="0.25">
      <c r="A36" s="4" t="s">
        <v>573</v>
      </c>
      <c r="B36" s="4" t="s">
        <v>681</v>
      </c>
      <c r="C36" s="4" t="s">
        <v>664</v>
      </c>
      <c r="D36" s="4" t="s">
        <v>590</v>
      </c>
      <c r="E36" s="50" t="str">
        <f t="shared" si="0"/>
        <v>Hello, my name is Rob Lee from Eclipsewater Technology and Services. I'm reaching out to VASP Plating and Screening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VASP Plating and Screening Inc's water treatment needs. I'd love to schedule a brief call to learn more about your operations and share how we've helped similar Industrial companies achieve their water quality and sustainability goals. Would you have some time this week or next to connect?</v>
      </c>
    </row>
    <row r="37" spans="1:5" ht="126.6" thickBot="1" x14ac:dyDescent="0.3">
      <c r="A37" s="29" t="s">
        <v>155</v>
      </c>
      <c r="B37" s="4" t="s">
        <v>681</v>
      </c>
      <c r="C37" s="4" t="s">
        <v>664</v>
      </c>
      <c r="D37" s="29" t="s">
        <v>209</v>
      </c>
      <c r="E37" s="50" t="str">
        <f t="shared" si="0"/>
        <v>Hello, my name is Rob Lee from Eclipsewater Technology and Services. I'm reaching out to Supreme Plating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Supreme Plating's water treatment needs. I'd love to schedule a brief call to learn more about your operations and share how we've helped similar Industrial companies achieve their water quality and sustainability goals. Would you have some time this week or next to connect?</v>
      </c>
    </row>
    <row r="38" spans="1:5" ht="126.6" thickBot="1" x14ac:dyDescent="0.3">
      <c r="A38" s="4" t="s">
        <v>490</v>
      </c>
      <c r="B38" s="4" t="s">
        <v>681</v>
      </c>
      <c r="C38" s="4" t="s">
        <v>664</v>
      </c>
      <c r="D38" s="35" t="s">
        <v>210</v>
      </c>
      <c r="E38" s="50" t="str">
        <f t="shared" si="0"/>
        <v>Hello, my name is Rob Lee from Eclipsewater Technology and Services. I'm reaching out to Specialty Porcelain Products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Specialty Porcelain Products Inc's water treatment needs. I'd love to schedule a brief call to learn more about your operations and share how we've helped similar Industrial companies achieve their water quality and sustainability goals. Would you have some time this week or next to connect?</v>
      </c>
    </row>
    <row r="39" spans="1:5" ht="126" x14ac:dyDescent="0.25">
      <c r="A39" s="4" t="s">
        <v>419</v>
      </c>
      <c r="B39" s="4" t="s">
        <v>681</v>
      </c>
      <c r="C39" s="4" t="s">
        <v>664</v>
      </c>
      <c r="D39" s="4" t="s">
        <v>595</v>
      </c>
      <c r="E39" s="50" t="str">
        <f t="shared" si="0"/>
        <v>Hello, my name is Rob Lee from Eclipsewater Technology and Services. I'm reaching out to Space Electroplating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Space Electroplating Inc's water treatment needs. I'd love to schedule a brief call to learn more about your operations and share how we've helped similar Industrial companies achieve their water quality and sustainability goals. Would you have some time this week or next to connect?</v>
      </c>
    </row>
    <row r="40" spans="1:5" ht="126" x14ac:dyDescent="0.25">
      <c r="A40" s="4" t="s">
        <v>418</v>
      </c>
      <c r="B40" s="4" t="s">
        <v>681</v>
      </c>
      <c r="C40" s="4" t="s">
        <v>664</v>
      </c>
      <c r="D40" s="4" t="s">
        <v>252</v>
      </c>
      <c r="E40" s="50" t="str">
        <f t="shared" si="0"/>
        <v>Hello, my name is Rob Lee from Eclipsewater Technology and Services. I'm reaching out to Snap On Tools Of Canada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Snap On Tools Of Canada's water treatment needs. I'd love to schedule a brief call to learn more about your operations and share how we've helped similar Industrial companies achieve their water quality and sustainability goals. Would you have some time this week or next to connect?</v>
      </c>
    </row>
    <row r="41" spans="1:5" ht="126" x14ac:dyDescent="0.25">
      <c r="A41" s="4" t="s">
        <v>417</v>
      </c>
      <c r="B41" s="4" t="s">
        <v>681</v>
      </c>
      <c r="C41" s="4" t="s">
        <v>664</v>
      </c>
      <c r="D41" s="4" t="s">
        <v>590</v>
      </c>
      <c r="E41" s="50" t="str">
        <f t="shared" si="0"/>
        <v>Hello, my name is Rob Lee from Eclipsewater Technology and Services. I'm reaching out to Shield Plating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Shield Plating's water treatment needs. I'd love to schedule a brief call to learn more about your operations and share how we've helped similar Industrial companies achieve their water quality and sustainability goals. Would you have some time this week or next to connect?</v>
      </c>
    </row>
    <row r="42" spans="1:5" ht="126" x14ac:dyDescent="0.25">
      <c r="A42" s="4" t="s">
        <v>461</v>
      </c>
      <c r="B42" s="4" t="s">
        <v>681</v>
      </c>
      <c r="C42" s="4" t="s">
        <v>664</v>
      </c>
      <c r="D42" s="4" t="s">
        <v>553</v>
      </c>
      <c r="E42" s="50" t="str">
        <f t="shared" si="0"/>
        <v>Hello, my name is Rob Lee from Eclipsewater Technology and Services. I'm reaching out to Ram Graphics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Ram Graphics's water treatment needs. I'd love to schedule a brief call to learn more about your operations and share how we've helped similar Industrial companies achieve their water quality and sustainability goals. Would you have some time this week or next to connect?</v>
      </c>
    </row>
    <row r="43" spans="1:5" ht="126" x14ac:dyDescent="0.25">
      <c r="A43" s="4" t="s">
        <v>533</v>
      </c>
      <c r="B43" s="4" t="s">
        <v>681</v>
      </c>
      <c r="C43" s="4" t="s">
        <v>664</v>
      </c>
      <c r="D43" s="4" t="s">
        <v>595</v>
      </c>
      <c r="E43" s="50" t="str">
        <f t="shared" si="0"/>
        <v>Hello, my name is Rob Lee from Eclipsewater Technology and Services. I'm reaching out to Quality Precision Anodizing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Quality Precision Anodizing's water treatment needs. I'd love to schedule a brief call to learn more about your operations and share how we've helped similar Industrial companies achieve their water quality and sustainability goals. Would you have some time this week or next to connect?</v>
      </c>
    </row>
    <row r="44" spans="1:5" ht="126" x14ac:dyDescent="0.25">
      <c r="A44" s="4" t="s">
        <v>244</v>
      </c>
      <c r="B44" s="4" t="s">
        <v>681</v>
      </c>
      <c r="C44" s="4" t="s">
        <v>664</v>
      </c>
      <c r="D44" s="4" t="s">
        <v>590</v>
      </c>
      <c r="E44" s="50" t="str">
        <f t="shared" si="0"/>
        <v>Hello, my name is Rob Lee from Eclipsewater Technology and Services. I'm reaching out to Progressive Anodizers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Progressive Anodizers's water treatment needs. I'd love to schedule a brief call to learn more about your operations and share how we've helped similar Industrial companies achieve their water quality and sustainability goals. Would you have some time this week or next to connect?</v>
      </c>
    </row>
    <row r="45" spans="1:5" ht="126" x14ac:dyDescent="0.25">
      <c r="A45" s="4" t="s">
        <v>243</v>
      </c>
      <c r="B45" s="4" t="s">
        <v>681</v>
      </c>
      <c r="C45" s="4" t="s">
        <v>664</v>
      </c>
      <c r="D45" s="4" t="s">
        <v>553</v>
      </c>
      <c r="E45" s="50" t="str">
        <f t="shared" si="0"/>
        <v>Hello, my name is Rob Lee from Eclipsewater Technology and Services. I'm reaching out to Precison Platers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Precison Platers's water treatment needs. I'd love to schedule a brief call to learn more about your operations and share how we've helped similar Industrial companies achieve their water quality and sustainability goals. Would you have some time this week or next to connect?</v>
      </c>
    </row>
    <row r="46" spans="1:5" ht="126" x14ac:dyDescent="0.25">
      <c r="A46" s="4" t="s">
        <v>280</v>
      </c>
      <c r="B46" s="4" t="s">
        <v>681</v>
      </c>
      <c r="C46" s="4" t="s">
        <v>664</v>
      </c>
      <c r="D46" s="4" t="s">
        <v>230</v>
      </c>
      <c r="E46" s="50" t="str">
        <f t="shared" si="0"/>
        <v>Hello, my name is Rob Lee from Eclipsewater Technology and Services. I'm reaching out to Precision Plate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Precision Plate's water treatment needs. I'd love to schedule a brief call to learn more about your operations and share how we've helped similar Industrial companies achieve their water quality and sustainability goals. Would you have some time this week or next to connect?</v>
      </c>
    </row>
    <row r="47" spans="1:5" ht="126" x14ac:dyDescent="0.25">
      <c r="A47" s="4" t="s">
        <v>620</v>
      </c>
      <c r="B47" s="4" t="s">
        <v>681</v>
      </c>
      <c r="C47" s="4" t="s">
        <v>664</v>
      </c>
      <c r="D47" s="4" t="s">
        <v>580</v>
      </c>
      <c r="E47" s="50" t="str">
        <f t="shared" si="0"/>
        <v>Hello, my name is Rob Lee from Eclipsewater Technology and Services. I'm reaching out to Pen K Plating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Pen K Plating's water treatment needs. I'd love to schedule a brief call to learn more about your operations and share how we've helped similar Industrial companies achieve their water quality and sustainability goals. Would you have some time this week or next to connect?</v>
      </c>
    </row>
    <row r="48" spans="1:5" ht="113.4" x14ac:dyDescent="0.25">
      <c r="A48" s="4" t="s">
        <v>403</v>
      </c>
      <c r="B48" s="4" t="s">
        <v>681</v>
      </c>
      <c r="C48" s="4" t="s">
        <v>664</v>
      </c>
      <c r="D48" s="4" t="s">
        <v>270</v>
      </c>
      <c r="E48" s="50" t="str">
        <f t="shared" si="0"/>
        <v>Hello, my name is Rob Lee from Eclipsewater Technology and Services. I'm reaching out to Oneedon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Oneedon's water treatment needs. I'd love to schedule a brief call to learn more about your operations and share how we've helped similar Industrial companies achieve their water quality and sustainability goals. Would you have some time this week or next to connect?</v>
      </c>
    </row>
    <row r="49" spans="1:5" ht="126" x14ac:dyDescent="0.25">
      <c r="A49" s="29" t="s">
        <v>450</v>
      </c>
      <c r="B49" s="4" t="s">
        <v>681</v>
      </c>
      <c r="C49" s="4" t="s">
        <v>664</v>
      </c>
      <c r="D49" s="29" t="s">
        <v>580</v>
      </c>
      <c r="E49" s="50" t="str">
        <f t="shared" si="0"/>
        <v>Hello, my name is Rob Lee from Eclipsewater Technology and Services. I'm reaching out to Network Circuits 2000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Network Circuits 2000 Inc's water treatment needs. I'd love to schedule a brief call to learn more about your operations and share how we've helped similar Industrial companies achieve their water quality and sustainability goals. Would you have some time this week or next to connect?</v>
      </c>
    </row>
    <row r="50" spans="1:5" ht="126" x14ac:dyDescent="0.25">
      <c r="A50" s="29" t="s">
        <v>481</v>
      </c>
      <c r="B50" s="4" t="s">
        <v>681</v>
      </c>
      <c r="C50" s="4" t="s">
        <v>664</v>
      </c>
      <c r="D50" s="29" t="s">
        <v>209</v>
      </c>
      <c r="E50" s="50" t="str">
        <f t="shared" si="0"/>
        <v>Hello, my name is Rob Lee from Eclipsewater Technology and Services. I'm reaching out to Metal Coaters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Metal Coaters's water treatment needs. I'd love to schedule a brief call to learn more about your operations and share how we've helped similar Industrial companies achieve their water quality and sustainability goals. Would you have some time this week or next to connect?</v>
      </c>
    </row>
    <row r="51" spans="1:5" ht="126" x14ac:dyDescent="0.25">
      <c r="A51" s="4" t="s">
        <v>506</v>
      </c>
      <c r="B51" s="4" t="s">
        <v>681</v>
      </c>
      <c r="C51" s="4" t="s">
        <v>664</v>
      </c>
      <c r="D51" s="4" t="s">
        <v>590</v>
      </c>
      <c r="E51" s="50" t="str">
        <f t="shared" si="0"/>
        <v>Hello, my name is Rob Lee from Eclipsewater Technology and Services. I'm reaching out to M Stanton Electroplating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 Stanton Electroplating's water treatment needs. I'd love to schedule a brief call to learn more about your operations and share how we've helped similar Industrial companies achieve their water quality and sustainability goals. Would you have some time this week or next to connect?</v>
      </c>
    </row>
    <row r="52" spans="1:5" ht="126" x14ac:dyDescent="0.25">
      <c r="A52" s="4" t="s">
        <v>505</v>
      </c>
      <c r="B52" s="4" t="s">
        <v>681</v>
      </c>
      <c r="C52" s="4" t="s">
        <v>664</v>
      </c>
      <c r="D52" s="4" t="s">
        <v>590</v>
      </c>
      <c r="E52" s="50" t="str">
        <f t="shared" si="0"/>
        <v>Hello, my name is Rob Lee from Eclipsewater Technology and Services. I'm reaching out to M &amp; M Plating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 &amp; M Plating Inc's water treatment needs. I'd love to schedule a brief call to learn more about your operations and share how we've helped similar Industrial companies achieve their water quality and sustainability goals. Would you have some time this week or next to connect?</v>
      </c>
    </row>
    <row r="53" spans="1:5" ht="126" x14ac:dyDescent="0.25">
      <c r="A53" s="4" t="s">
        <v>503</v>
      </c>
      <c r="B53" s="4" t="s">
        <v>681</v>
      </c>
      <c r="C53" s="4" t="s">
        <v>664</v>
      </c>
      <c r="D53" s="4" t="s">
        <v>590</v>
      </c>
      <c r="E53" s="50" t="str">
        <f t="shared" si="0"/>
        <v>Hello, my name is Rob Lee from Eclipsewater Technology and Services. I'm reaching out to Litho Tech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Litho Tech Inc's water treatment needs. I'd love to schedule a brief call to learn more about your operations and share how we've helped similar Industrial companies achieve their water quality and sustainability goals. Would you have some time this week or next to connect?</v>
      </c>
    </row>
    <row r="54" spans="1:5" ht="126" x14ac:dyDescent="0.25">
      <c r="A54" s="4" t="s">
        <v>500</v>
      </c>
      <c r="B54" s="4" t="s">
        <v>681</v>
      </c>
      <c r="C54" s="4" t="s">
        <v>664</v>
      </c>
      <c r="D54" s="4" t="s">
        <v>210</v>
      </c>
      <c r="E54" s="50" t="str">
        <f t="shared" si="0"/>
        <v>Hello, my name is Rob Lee from Eclipsewater Technology and Services. I'm reaching out to Laural Steel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Laural Steel's water treatment needs. I'd love to schedule a brief call to learn more about your operations and share how we've helped similar Industrial companies achieve their water quality and sustainability goals. Would you have some time this week or next to connect?</v>
      </c>
    </row>
    <row r="55" spans="1:5" ht="126" x14ac:dyDescent="0.25">
      <c r="A55" s="4" t="s">
        <v>531</v>
      </c>
      <c r="B55" s="4" t="s">
        <v>681</v>
      </c>
      <c r="C55" s="4" t="s">
        <v>664</v>
      </c>
      <c r="D55" s="4" t="s">
        <v>247</v>
      </c>
      <c r="E55" s="50" t="str">
        <f t="shared" si="0"/>
        <v>Hello, my name is Rob Lee from Eclipsewater Technology and Services. I'm reaching out to Lakeside Steel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Lakeside Steel's water treatment needs. I'd love to schedule a brief call to learn more about your operations and share how we've helped similar Industrial companies achieve their water quality and sustainability goals. Would you have some time this week or next to connect?</v>
      </c>
    </row>
    <row r="56" spans="1:5" ht="126" x14ac:dyDescent="0.25">
      <c r="A56" s="4" t="s">
        <v>227</v>
      </c>
      <c r="B56" s="4" t="s">
        <v>681</v>
      </c>
      <c r="C56" s="4" t="s">
        <v>664</v>
      </c>
      <c r="D56" s="4" t="s">
        <v>590</v>
      </c>
      <c r="E56" s="50" t="str">
        <f t="shared" si="0"/>
        <v>Hello, my name is Rob Lee from Eclipsewater Technology and Services. I'm reaching out to KDS Graphics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KDS Graphics Ltd's water treatment needs. I'd love to schedule a brief call to learn more about your operations and share how we've helped similar Industrial companies achieve their water quality and sustainability goals. Would you have some time this week or next to connect?</v>
      </c>
    </row>
    <row r="57" spans="1:5" ht="126" x14ac:dyDescent="0.25">
      <c r="A57" s="4" t="s">
        <v>226</v>
      </c>
      <c r="B57" s="4" t="s">
        <v>681</v>
      </c>
      <c r="C57" s="4" t="s">
        <v>664</v>
      </c>
      <c r="D57" s="4" t="s">
        <v>590</v>
      </c>
      <c r="E57" s="50" t="str">
        <f t="shared" si="0"/>
        <v>Hello, my name is Rob Lee from Eclipsewater Technology and Services. I'm reaching out to Jims Polishing &amp; Buffing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Jims Polishing &amp; Buffing's water treatment needs. I'd love to schedule a brief call to learn more about your operations and share how we've helped similar Industrial companies achieve their water quality and sustainability goals. Would you have some time this week or next to connect?</v>
      </c>
    </row>
    <row r="58" spans="1:5" ht="113.4" x14ac:dyDescent="0.25">
      <c r="A58" s="29" t="s">
        <v>449</v>
      </c>
      <c r="B58" s="4" t="s">
        <v>681</v>
      </c>
      <c r="C58" s="4" t="s">
        <v>664</v>
      </c>
      <c r="D58" s="29" t="s">
        <v>580</v>
      </c>
      <c r="E58" s="50" t="str">
        <f t="shared" si="0"/>
        <v>Hello, my name is Rob Lee from Eclipsewater Technology and Services. I'm reaching out to ITL Circuits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ITL Circuits's water treatment needs. I'd love to schedule a brief call to learn more about your operations and share how we've helped similar Industrial companies achieve their water quality and sustainability goals. Would you have some time this week or next to connect?</v>
      </c>
    </row>
    <row r="59" spans="1:5" ht="113.4" x14ac:dyDescent="0.25">
      <c r="A59" s="4" t="s">
        <v>194</v>
      </c>
      <c r="B59" s="4" t="s">
        <v>681</v>
      </c>
      <c r="C59" s="4" t="s">
        <v>664</v>
      </c>
      <c r="D59" s="4" t="s">
        <v>590</v>
      </c>
      <c r="E59" s="50" t="str">
        <f t="shared" si="0"/>
        <v>Hello, my name is Rob Lee from Eclipsewater Technology and Services. I'm reaching out to H &amp; E Plating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 &amp; E Plating's water treatment needs. I'd love to schedule a brief call to learn more about your operations and share how we've helped similar Industrial companies achieve their water quality and sustainability goals. Would you have some time this week or next to connect?</v>
      </c>
    </row>
    <row r="60" spans="1:5" ht="113.4" x14ac:dyDescent="0.25">
      <c r="A60" s="4" t="s">
        <v>21</v>
      </c>
      <c r="B60" s="4" t="s">
        <v>681</v>
      </c>
      <c r="C60" s="4" t="s">
        <v>664</v>
      </c>
      <c r="D60" s="4" t="s">
        <v>210</v>
      </c>
      <c r="E60" s="50" t="str">
        <f t="shared" si="0"/>
        <v>Hello, my name is Rob Lee from Eclipsewater Technology and Services. I'm reaching out to Gennum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Gennum's water treatment needs. I'd love to schedule a brief call to learn more about your operations and share how we've helped similar Industrial companies achieve their water quality and sustainability goals. Would you have some time this week or next to connect?</v>
      </c>
    </row>
    <row r="61" spans="1:5" ht="126" x14ac:dyDescent="0.25">
      <c r="A61" s="4" t="s">
        <v>20</v>
      </c>
      <c r="B61" s="4" t="s">
        <v>681</v>
      </c>
      <c r="C61" s="4" t="s">
        <v>664</v>
      </c>
      <c r="D61" s="4" t="s">
        <v>130</v>
      </c>
      <c r="E61" s="50" t="str">
        <f t="shared" si="0"/>
        <v>Hello, my name is Rob Lee from Eclipsewater Technology and Services. I'm reaching out to General Magnaplate Canada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General Magnaplate Canada's water treatment needs. I'd love to schedule a brief call to learn more about your operations and share how we've helped similar Industrial companies achieve their water quality and sustainability goals. Would you have some time this week or next to connect?</v>
      </c>
    </row>
    <row r="62" spans="1:5" ht="126" x14ac:dyDescent="0.25">
      <c r="A62" s="4" t="s">
        <v>166</v>
      </c>
      <c r="B62" s="4" t="s">
        <v>681</v>
      </c>
      <c r="C62" s="4" t="s">
        <v>664</v>
      </c>
      <c r="D62" s="4" t="s">
        <v>590</v>
      </c>
      <c r="E62" s="50" t="str">
        <f t="shared" si="0"/>
        <v>Hello, my name is Rob Lee from Eclipsewater Technology and Services. I'm reaching out to Exact Printing Plate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Exact Printing Plate Ltd's water treatment needs. I'd love to schedule a brief call to learn more about your operations and share how we've helped similar Industrial companies achieve their water quality and sustainability goals. Would you have some time this week or next to connect?</v>
      </c>
    </row>
    <row r="63" spans="1:5" ht="126" x14ac:dyDescent="0.25">
      <c r="A63" s="4" t="s">
        <v>532</v>
      </c>
      <c r="B63" s="4" t="s">
        <v>681</v>
      </c>
      <c r="C63" s="4" t="s">
        <v>664</v>
      </c>
      <c r="D63" s="4" t="s">
        <v>535</v>
      </c>
      <c r="E63" s="50" t="str">
        <f t="shared" si="0"/>
        <v>Hello, my name is Rob Lee from Eclipsewater Technology and Services. I'm reaching out to Electropac Planar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Electropac Planar Ltd's water treatment needs. I'd love to schedule a brief call to learn more about your operations and share how we've helped similar Industrial companies achieve their water quality and sustainability goals. Would you have some time this week or next to connect?</v>
      </c>
    </row>
    <row r="64" spans="1:5" ht="126" x14ac:dyDescent="0.25">
      <c r="A64" s="4" t="s">
        <v>165</v>
      </c>
      <c r="B64" s="4" t="s">
        <v>681</v>
      </c>
      <c r="C64" s="4" t="s">
        <v>664</v>
      </c>
      <c r="D64" s="4" t="s">
        <v>209</v>
      </c>
      <c r="E64" s="50" t="str">
        <f t="shared" si="0"/>
        <v>Hello, my name is Rob Lee from Eclipsewater Technology and Services. I'm reaching out to Electro-Kleen Alloy Polishing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Electro-Kleen Alloy Polishing Ltd's water treatment needs. I'd love to schedule a brief call to learn more about your operations and share how we've helped similar Industrial companies achieve their water quality and sustainability goals. Would you have some time this week or next to connect?</v>
      </c>
    </row>
    <row r="65" spans="1:5" ht="126" x14ac:dyDescent="0.25">
      <c r="A65" s="4" t="s">
        <v>164</v>
      </c>
      <c r="B65" s="4" t="s">
        <v>681</v>
      </c>
      <c r="C65" s="4" t="s">
        <v>664</v>
      </c>
      <c r="D65" s="4" t="s">
        <v>590</v>
      </c>
      <c r="E65" s="50" t="str">
        <f t="shared" ref="E65:E128" si="1">IF(A65="","","Hello, my name is Rob Lee from Eclipsewater Technology and Services. I'm reaching out to "&amp;A65&amp;" because we specialize in providing industrial water treatment solutions for companies in the "&amp;B65&amp;" sector"&amp;IF(C65&lt;&gt;"", ", particularly those in the "&amp;C65&amp;"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")&amp;A65&amp;"'s water treatment needs. I'd love to schedule a brief call to learn more about your operations and share how we've helped similar "&amp;B65&amp;" companies achieve their water quality and sustainability goals. Would you have some time this week or next to connect?")</f>
        <v>Hello, my name is Rob Lee from Eclipsewater Technology and Services. I'm reaching out to Electro Circuit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Electro Circuit Inc's water treatment needs. I'd love to schedule a brief call to learn more about your operations and share how we've helped similar Industrial companies achieve their water quality and sustainability goals. Would you have some time this week or next to connect?</v>
      </c>
    </row>
    <row r="66" spans="1:5" ht="126" x14ac:dyDescent="0.25">
      <c r="A66" s="4" t="s">
        <v>162</v>
      </c>
      <c r="B66" s="4" t="s">
        <v>681</v>
      </c>
      <c r="C66" s="4" t="s">
        <v>664</v>
      </c>
      <c r="D66" s="4" t="s">
        <v>590</v>
      </c>
      <c r="E66" s="50" t="str">
        <f t="shared" si="1"/>
        <v>Hello, my name is Rob Lee from Eclipsewater Technology and Services. I'm reaching out to East End Plating Co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East End Plating Co Ltd's water treatment needs. I'd love to schedule a brief call to learn more about your operations and share how we've helped similar Industrial companies achieve their water quality and sustainability goals. Would you have some time this week or next to connect?</v>
      </c>
    </row>
    <row r="67" spans="1:5" ht="126" x14ac:dyDescent="0.25">
      <c r="A67" s="4" t="s">
        <v>552</v>
      </c>
      <c r="B67" s="4" t="s">
        <v>681</v>
      </c>
      <c r="C67" s="4" t="s">
        <v>664</v>
      </c>
      <c r="D67" s="4" t="s">
        <v>158</v>
      </c>
      <c r="E67" s="50" t="str">
        <f t="shared" si="1"/>
        <v>Hello, my name is Rob Lee from Eclipsewater Technology and Services. I'm reaching out to Dura Chrome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Dura Chrome's water treatment needs. I'd love to schedule a brief call to learn more about your operations and share how we've helped similar Industrial companies achieve their water quality and sustainability goals. Would you have some time this week or next to connect?</v>
      </c>
    </row>
    <row r="68" spans="1:5" ht="126" x14ac:dyDescent="0.25">
      <c r="A68" s="4" t="s">
        <v>367</v>
      </c>
      <c r="B68" s="4" t="s">
        <v>681</v>
      </c>
      <c r="C68" s="4" t="s">
        <v>664</v>
      </c>
      <c r="D68" s="4" t="s">
        <v>580</v>
      </c>
      <c r="E68" s="50" t="str">
        <f t="shared" si="1"/>
        <v>Hello, my name is Rob Lee from Eclipsewater Technology and Services. I'm reaching out to Dependable Anodizing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Dependable Anodizing Ltd's water treatment needs. I'd love to schedule a brief call to learn more about your operations and share how we've helped similar Industrial companies achieve their water quality and sustainability goals. Would you have some time this week or next to connect?</v>
      </c>
    </row>
    <row r="69" spans="1:5" ht="126" x14ac:dyDescent="0.25">
      <c r="A69" s="4" t="s">
        <v>364</v>
      </c>
      <c r="B69" s="4" t="s">
        <v>681</v>
      </c>
      <c r="C69" s="4" t="s">
        <v>664</v>
      </c>
      <c r="D69" s="4" t="s">
        <v>43</v>
      </c>
      <c r="E69" s="50" t="str">
        <f t="shared" si="1"/>
        <v>Hello, my name is Rob Lee from Eclipsewater Technology and Services. I'm reaching out to Daymond Aluminum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Daymond Aluminum's water treatment needs. I'd love to schedule a brief call to learn more about your operations and share how we've helped similar Industrial companies achieve their water quality and sustainability goals. Would you have some time this week or next to connect?</v>
      </c>
    </row>
    <row r="70" spans="1:5" ht="126" x14ac:dyDescent="0.25">
      <c r="A70" s="29" t="s">
        <v>497</v>
      </c>
      <c r="B70" s="4" t="s">
        <v>681</v>
      </c>
      <c r="C70" s="4" t="s">
        <v>664</v>
      </c>
      <c r="D70" s="29" t="s">
        <v>580</v>
      </c>
      <c r="E70" s="50" t="str">
        <f t="shared" si="1"/>
        <v>Hello, my name is Rob Lee from Eclipsewater Technology and Services. I'm reaching out to Data Circuits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Data Circuits's water treatment needs. I'd love to schedule a brief call to learn more about your operations and share how we've helped similar Industrial companies achieve their water quality and sustainability goals. Would you have some time this week or next to connect?</v>
      </c>
    </row>
    <row r="71" spans="1:5" ht="126" x14ac:dyDescent="0.25">
      <c r="A71" s="4" t="s">
        <v>618</v>
      </c>
      <c r="B71" s="4" t="s">
        <v>681</v>
      </c>
      <c r="C71" s="4" t="s">
        <v>664</v>
      </c>
      <c r="D71" s="4" t="s">
        <v>580</v>
      </c>
      <c r="E71" s="50" t="str">
        <f t="shared" si="1"/>
        <v>Hello, my name is Rob Lee from Eclipsewater Technology and Services. I'm reaching out to Crest Circuit Co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Crest Circuit Co Ltd's water treatment needs. I'd love to schedule a brief call to learn more about your operations and share how we've helped similar Industrial companies achieve their water quality and sustainability goals. Would you have some time this week or next to connect?</v>
      </c>
    </row>
    <row r="72" spans="1:5" ht="126" x14ac:dyDescent="0.25">
      <c r="A72" s="4" t="s">
        <v>617</v>
      </c>
      <c r="B72" s="4" t="s">
        <v>681</v>
      </c>
      <c r="C72" s="4" t="s">
        <v>664</v>
      </c>
      <c r="D72" s="4" t="s">
        <v>252</v>
      </c>
      <c r="E72" s="50" t="str">
        <f t="shared" si="1"/>
        <v>Hello, my name is Rob Lee from Eclipsewater Technology and Services. I'm reaching out to Cooper Plating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Cooper Plating Inc's water treatment needs. I'd love to schedule a brief call to learn more about your operations and share how we've helped similar Industrial companies achieve their water quality and sustainability goals. Would you have some time this week or next to connect?</v>
      </c>
    </row>
    <row r="73" spans="1:5" ht="126" x14ac:dyDescent="0.25">
      <c r="A73" s="4" t="s">
        <v>156</v>
      </c>
      <c r="B73" s="4" t="s">
        <v>681</v>
      </c>
      <c r="C73" s="4" t="s">
        <v>664</v>
      </c>
      <c r="D73" s="4" t="s">
        <v>513</v>
      </c>
      <c r="E73" s="50" t="str">
        <f t="shared" si="1"/>
        <v>Hello, my name is Rob Lee from Eclipsewater Technology and Services. I'm reaching out to Chromeshield Co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Chromeshield Co's water treatment needs. I'd love to schedule a brief call to learn more about your operations and share how we've helped similar Industrial companies achieve their water quality and sustainability goals. Would you have some time this week or next to connect?</v>
      </c>
    </row>
    <row r="74" spans="1:5" ht="126" x14ac:dyDescent="0.25">
      <c r="A74" s="4" t="s">
        <v>660</v>
      </c>
      <c r="B74" s="4" t="s">
        <v>681</v>
      </c>
      <c r="C74" s="4" t="s">
        <v>664</v>
      </c>
      <c r="D74" s="4" t="s">
        <v>590</v>
      </c>
      <c r="E74" s="50" t="str">
        <f t="shared" si="1"/>
        <v>Hello, my name is Rob Lee from Eclipsewater Technology and Services. I'm reaching out to Century Circuits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Century Circuits Inc's water treatment needs. I'd love to schedule a brief call to learn more about your operations and share how we've helped similar Industrial companies achieve their water quality and sustainability goals. Would you have some time this week or next to connect?</v>
      </c>
    </row>
    <row r="75" spans="1:5" ht="126" x14ac:dyDescent="0.25">
      <c r="A75" s="4" t="s">
        <v>658</v>
      </c>
      <c r="B75" s="4" t="s">
        <v>681</v>
      </c>
      <c r="C75" s="4" t="s">
        <v>664</v>
      </c>
      <c r="D75" s="4" t="s">
        <v>590</v>
      </c>
      <c r="E75" s="50" t="str">
        <f t="shared" si="1"/>
        <v>Hello, my name is Rob Lee from Eclipsewater Technology and Services. I'm reaching out to Catelectric-Dip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Catelectric-Dip's water treatment needs. I'd love to schedule a brief call to learn more about your operations and share how we've helped similar Industrial companies achieve their water quality and sustainability goals. Would you have some time this week or next to connect?</v>
      </c>
    </row>
    <row r="76" spans="1:5" ht="126" x14ac:dyDescent="0.25">
      <c r="A76" s="29" t="s">
        <v>498</v>
      </c>
      <c r="B76" s="4" t="s">
        <v>681</v>
      </c>
      <c r="C76" s="4" t="s">
        <v>664</v>
      </c>
      <c r="D76" s="29" t="s">
        <v>580</v>
      </c>
      <c r="E76" s="50" t="str">
        <f t="shared" si="1"/>
        <v>Hello, my name is Rob Lee from Eclipsewater Technology and Services. I'm reaching out to Camptech II Circuits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Camptech II Circuits's water treatment needs. I'd love to schedule a brief call to learn more about your operations and share how we've helped similar Industrial companies achieve their water quality and sustainability goals. Would you have some time this week or next to connect?</v>
      </c>
    </row>
    <row r="77" spans="1:5" ht="126" x14ac:dyDescent="0.25">
      <c r="A77" s="29" t="s">
        <v>496</v>
      </c>
      <c r="B77" s="4" t="s">
        <v>681</v>
      </c>
      <c r="C77" s="4" t="s">
        <v>664</v>
      </c>
      <c r="D77" s="29" t="s">
        <v>580</v>
      </c>
      <c r="E77" s="50" t="str">
        <f t="shared" si="1"/>
        <v>Hello, my name is Rob Lee from Eclipsewater Technology and Services. I'm reaching out to C &amp; K Painting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 &amp; K Painting's water treatment needs. I'd love to schedule a brief call to learn more about your operations and share how we've helped similar Industrial companies achieve their water quality and sustainability goals. Would you have some time this week or next to connect?</v>
      </c>
    </row>
    <row r="78" spans="1:5" ht="126" x14ac:dyDescent="0.25">
      <c r="A78" s="4" t="s">
        <v>28</v>
      </c>
      <c r="B78" s="4" t="s">
        <v>681</v>
      </c>
      <c r="C78" s="4" t="s">
        <v>664</v>
      </c>
      <c r="D78" s="4" t="s">
        <v>590</v>
      </c>
      <c r="E78" s="50" t="str">
        <f t="shared" si="1"/>
        <v>Hello, my name is Rob Lee from Eclipsewater Technology and Services. I'm reaching out to Blue Bell Electroplating Inc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Blue Bell Electroplating Inc's water treatment needs. I'd love to schedule a brief call to learn more about your operations and share how we've helped similar Industrial companies achieve their water quality and sustainability goals. Would you have some time this week or next to connect?</v>
      </c>
    </row>
    <row r="79" spans="1:5" ht="126" x14ac:dyDescent="0.25">
      <c r="A79" s="4" t="s">
        <v>374</v>
      </c>
      <c r="B79" s="4" t="s">
        <v>681</v>
      </c>
      <c r="C79" s="4" t="s">
        <v>664</v>
      </c>
      <c r="D79" s="4" t="s">
        <v>209</v>
      </c>
      <c r="E79" s="50" t="str">
        <f t="shared" si="1"/>
        <v>Hello, my name is Rob Lee from Eclipsewater Technology and Services. I'm reaching out to Aurora Photo Engravers Co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Aurora Photo Engravers Co Ltd's water treatment needs. I'd love to schedule a brief call to learn more about your operations and share how we've helped similar Industrial companies achieve their water quality and sustainability goals. Would you have some time this week or next to connect?</v>
      </c>
    </row>
    <row r="80" spans="1:5" ht="126" x14ac:dyDescent="0.25">
      <c r="A80" s="4" t="s">
        <v>373</v>
      </c>
      <c r="B80" s="4" t="s">
        <v>681</v>
      </c>
      <c r="C80" s="4" t="s">
        <v>664</v>
      </c>
      <c r="D80" s="4" t="s">
        <v>210</v>
      </c>
      <c r="E80" s="50" t="str">
        <f t="shared" si="1"/>
        <v>Hello, my name is Rob Lee from Eclipsewater Technology and Services. I'm reaching out to Atotech Canada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Atotech Canada's water treatment needs. I'd love to schedule a brief call to learn more about your operations and share how we've helped similar Industrial companies achieve their water quality and sustainability goals. Would you have some time this week or next to connect?</v>
      </c>
    </row>
    <row r="81" spans="1:5" ht="126" x14ac:dyDescent="0.25">
      <c r="A81" s="4" t="s">
        <v>370</v>
      </c>
      <c r="B81" s="4" t="s">
        <v>681</v>
      </c>
      <c r="C81" s="4" t="s">
        <v>664</v>
      </c>
      <c r="D81" s="4" t="s">
        <v>580</v>
      </c>
      <c r="E81" s="50" t="str">
        <f t="shared" si="1"/>
        <v>Hello, my name is Rob Lee from Eclipsewater Technology and Services. I'm reaching out to Associated Tube Industries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Associated Tube Industries's water treatment needs. I'd love to schedule a brief call to learn more about your operations and share how we've helped similar Industrial companies achieve their water quality and sustainability goals. Would you have some time this week or next to connect?</v>
      </c>
    </row>
    <row r="82" spans="1:5" ht="126" x14ac:dyDescent="0.25">
      <c r="A82" s="4" t="s">
        <v>239</v>
      </c>
      <c r="B82" s="4" t="s">
        <v>681</v>
      </c>
      <c r="C82" s="4" t="s">
        <v>664</v>
      </c>
      <c r="D82" s="4" t="s">
        <v>563</v>
      </c>
      <c r="E82" s="50" t="str">
        <f t="shared" si="1"/>
        <v>Hello, my name is Rob Lee from Eclipsewater Technology and Services. I'm reaching out to Argento Plata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Argento Plata's water treatment needs. I'd love to schedule a brief call to learn more about your operations and share how we've helped similar Industrial companies achieve their water quality and sustainability goals. Would you have some time this week or next to connect?</v>
      </c>
    </row>
    <row r="83" spans="1:5" ht="126" x14ac:dyDescent="0.25">
      <c r="A83" s="4" t="s">
        <v>31</v>
      </c>
      <c r="B83" s="4" t="s">
        <v>681</v>
      </c>
      <c r="C83" s="4" t="s">
        <v>664</v>
      </c>
      <c r="D83" s="4" t="s">
        <v>210</v>
      </c>
      <c r="E83" s="50" t="str">
        <f t="shared" si="1"/>
        <v>Hello, my name is Rob Lee from Eclipsewater Technology and Services. I'm reaching out to Aluminium Surface Technology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Aluminium Surface Technology's water treatment needs. I'd love to schedule a brief call to learn more about your operations and share how we've helped similar Industrial companies achieve their water quality and sustainability goals. Would you have some time this week or next to connect?</v>
      </c>
    </row>
    <row r="84" spans="1:5" ht="126" x14ac:dyDescent="0.25">
      <c r="A84" s="34" t="s">
        <v>378</v>
      </c>
      <c r="B84" s="4" t="s">
        <v>681</v>
      </c>
      <c r="C84" s="4" t="s">
        <v>664</v>
      </c>
      <c r="D84" s="34" t="s">
        <v>43</v>
      </c>
      <c r="E84" s="50" t="str">
        <f t="shared" si="1"/>
        <v>Hello, my name is Rob Lee from Eclipsewater Technology and Services. I'm reaching out to A&amp;A Metal Cleaning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A&amp;A Metal Cleaning's water treatment needs. I'd love to schedule a brief call to learn more about your operations and share how we've helped similar Industrial companies achieve their water quality and sustainability goals. Would you have some time this week or next to connect?</v>
      </c>
    </row>
    <row r="85" spans="1:5" ht="126" x14ac:dyDescent="0.25">
      <c r="A85" s="4" t="s">
        <v>46</v>
      </c>
      <c r="B85" s="4" t="s">
        <v>681</v>
      </c>
      <c r="C85" s="4" t="s">
        <v>664</v>
      </c>
      <c r="D85" s="4" t="s">
        <v>590</v>
      </c>
      <c r="E85" s="50" t="str">
        <f t="shared" si="1"/>
        <v>Hello, my name is Rob Lee from Eclipsewater Technology and Services. I'm reaching out to A G Simpson Co Ltd (Scarb)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 G Simpson Co Ltd (Scarb)'s water treatment needs. I'd love to schedule a brief call to learn more about your operations and share how we've helped similar Industrial companies achieve their water quality and sustainability goals. Would you have some time this week or next to connect?</v>
      </c>
    </row>
    <row r="86" spans="1:5" ht="126" x14ac:dyDescent="0.25">
      <c r="A86" s="4" t="s">
        <v>392</v>
      </c>
      <c r="B86" s="4" t="s">
        <v>681</v>
      </c>
      <c r="C86" s="4" t="s">
        <v>664</v>
      </c>
      <c r="D86" s="4" t="s">
        <v>198</v>
      </c>
      <c r="E86" s="50" t="str">
        <f t="shared" si="1"/>
        <v>Hello, my name is Rob Lee from Eclipsewater Technology and Services. I'm reaching out to A G Simpson Co Ltd (Osha)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 G Simpson Co Ltd (Osha)'s water treatment needs. I'd love to schedule a brief call to learn more about your operations and share how we've helped similar Industrial companies achieve their water quality and sustainability goals. Would you have some time this week or next to connect?</v>
      </c>
    </row>
    <row r="87" spans="1:5" ht="126" x14ac:dyDescent="0.25">
      <c r="A87" s="4" t="s">
        <v>606</v>
      </c>
      <c r="B87" s="4" t="s">
        <v>681</v>
      </c>
      <c r="C87" s="4" t="s">
        <v>664</v>
      </c>
      <c r="D87" s="4" t="s">
        <v>592</v>
      </c>
      <c r="E87" s="50" t="str">
        <f t="shared" si="1"/>
        <v>Hello, my name is Rob Lee from Eclipsewater Technology and Services. I'm reaching out to A G Simpson Co Ltd (Camb)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 G Simpson Co Ltd (Camb)'s water treatment needs. I'd love to schedule a brief call to learn more about your operations and share how we've helped similar Industrial companies achieve their water quality and sustainability goals. Would you have some time this week or next to connect?</v>
      </c>
    </row>
    <row r="88" spans="1:5" ht="126" x14ac:dyDescent="0.25">
      <c r="A88" s="4" t="s">
        <v>589</v>
      </c>
      <c r="B88" s="4" t="s">
        <v>681</v>
      </c>
      <c r="C88" s="4" t="s">
        <v>664</v>
      </c>
      <c r="D88" s="4" t="s">
        <v>590</v>
      </c>
      <c r="E88" s="50" t="str">
        <f t="shared" si="1"/>
        <v>Hello, my name is Rob Lee from Eclipsewater Technology and Services. I'm reaching out to A G Simpson Co Ltd because we specialize in providing industrial water treatment solutions for companies in the Industrial sector, particularly those in the Plating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 G Simpson Co Ltd's water treatment needs. I'd love to schedule a brief call to learn more about your operations and share how we've helped similar Industrial companies achieve their water quality and sustainability goals. Would you have some time this week or next to connect?</v>
      </c>
    </row>
    <row r="89" spans="1:5" ht="126" hidden="1" x14ac:dyDescent="0.25">
      <c r="A89" s="4" t="s">
        <v>574</v>
      </c>
      <c r="B89" s="4" t="s">
        <v>681</v>
      </c>
      <c r="C89" s="36" t="s">
        <v>674</v>
      </c>
      <c r="D89" s="4" t="s">
        <v>563</v>
      </c>
      <c r="E89" s="50" t="str">
        <f t="shared" si="1"/>
        <v>Hello, my name is Rob Lee from Eclipsewater Technology and Services. I'm reaching out to Ventra Plastics Peterborough because we specialize in providing industrial water treatment solutions for companies in the Industrial sector, particularly those in the Oil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Ventra Plastics Peterborough's water treatment needs. I'd love to schedule a brief call to learn more about your operations and share how we've helped similar Industrial companies achieve their water quality and sustainability goals. Would you have some time this week or next to connect?</v>
      </c>
    </row>
    <row r="90" spans="1:5" ht="126" hidden="1" x14ac:dyDescent="0.25">
      <c r="A90" s="36" t="s">
        <v>63</v>
      </c>
      <c r="B90" s="4" t="s">
        <v>681</v>
      </c>
      <c r="C90" s="36" t="s">
        <v>674</v>
      </c>
      <c r="D90" s="29" t="s">
        <v>117</v>
      </c>
      <c r="E90" s="50" t="str">
        <f t="shared" si="1"/>
        <v>Hello, my name is Rob Lee from Eclipsewater Technology and Services. I'm reaching out to McAsphalt Industries because we specialize in providing industrial water treatment solutions for companies in the Industrial sector, particularly those in the Oil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McAsphalt Industries's water treatment needs. I'd love to schedule a brief call to learn more about your operations and share how we've helped similar Industrial companies achieve their water quality and sustainability goals. Would you have some time this week or next to connect?</v>
      </c>
    </row>
    <row r="91" spans="1:5" ht="126" hidden="1" x14ac:dyDescent="0.25">
      <c r="A91" s="4" t="s">
        <v>467</v>
      </c>
      <c r="B91" s="4" t="s">
        <v>681</v>
      </c>
      <c r="C91" s="36" t="s">
        <v>674</v>
      </c>
      <c r="D91" s="4" t="s">
        <v>209</v>
      </c>
      <c r="E91" s="50" t="str">
        <f t="shared" si="1"/>
        <v>Hello, my name is Rob Lee from Eclipsewater Technology and Services. I'm reaching out to Lafarge Asphalt Engineering because we specialize in providing industrial water treatment solutions for companies in the Industrial sector, particularly those in the Oil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Lafarge Asphalt Engineering's water treatment needs. I'd love to schedule a brief call to learn more about your operations and share how we've helped similar Industrial companies achieve their water quality and sustainability goals. Would you have some time this week or next to connect?</v>
      </c>
    </row>
    <row r="92" spans="1:5" ht="126" hidden="1" x14ac:dyDescent="0.25">
      <c r="A92" s="4" t="s">
        <v>145</v>
      </c>
      <c r="B92" s="4" t="s">
        <v>681</v>
      </c>
      <c r="C92" s="36" t="s">
        <v>674</v>
      </c>
      <c r="D92" s="4" t="s">
        <v>595</v>
      </c>
      <c r="E92" s="50" t="str">
        <f t="shared" si="1"/>
        <v>Hello, my name is Rob Lee from Eclipsewater Technology and Services. I'm reaching out to Canroof Corporation Inc because we specialize in providing industrial water treatment solutions for companies in the Industrial sector, particularly those in the Oil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Canroof Corporation Inc's water treatment needs. I'd love to schedule a brief call to learn more about your operations and share how we've helped similar Industrial companies achieve their water quality and sustainability goals. Would you have some time this week or next to connect?</v>
      </c>
    </row>
    <row r="93" spans="1:5" ht="126" hidden="1" x14ac:dyDescent="0.25">
      <c r="A93" s="4" t="s">
        <v>233</v>
      </c>
      <c r="B93" s="4" t="s">
        <v>681</v>
      </c>
      <c r="C93" s="4" t="s">
        <v>679</v>
      </c>
      <c r="D93" s="4" t="s">
        <v>657</v>
      </c>
      <c r="E93" s="50" t="str">
        <f t="shared" si="1"/>
        <v>Hello, my name is Rob Lee from Eclipsewater Technology and Services. I'm reaching out to Inco Ltd because we specialize in providing industrial water treatment solutions for companies in the Industrial sector, particularly those in the Mining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Inco Ltd's water treatment needs. I'd love to schedule a brief call to learn more about your operations and share how we've helped similar Industrial companies achieve their water quality and sustainability goals. Would you have some time this week or next to connect?</v>
      </c>
    </row>
    <row r="94" spans="1:5" ht="126" hidden="1" x14ac:dyDescent="0.25">
      <c r="A94" s="4" t="s">
        <v>491</v>
      </c>
      <c r="B94" s="4" t="s">
        <v>681</v>
      </c>
      <c r="C94" s="4" t="s">
        <v>677</v>
      </c>
      <c r="D94" s="4" t="s">
        <v>580</v>
      </c>
      <c r="E94" s="50" t="str">
        <f t="shared" si="1"/>
        <v>Hello, my name is Rob Lee from Eclipsewater Technology and Services. I'm reaching out to Steelcase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Steelcase's water treatment needs. I'd love to schedule a brief call to learn more about your operations and share how we've helped similar Industrial companies achieve their water quality and sustainability goals. Would you have some time this week or next to connect?</v>
      </c>
    </row>
    <row r="95" spans="1:5" ht="126" hidden="1" x14ac:dyDescent="0.25">
      <c r="A95" s="29" t="s">
        <v>440</v>
      </c>
      <c r="B95" s="4" t="s">
        <v>681</v>
      </c>
      <c r="C95" s="36" t="s">
        <v>677</v>
      </c>
      <c r="D95" s="29" t="s">
        <v>588</v>
      </c>
      <c r="E95" s="50" t="str">
        <f t="shared" si="1"/>
        <v>Hello, my name is Rob Lee from Eclipsewater Technology and Services. I'm reaching out to Parsons Precast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Parsons Precast's water treatment needs. I'd love to schedule a brief call to learn more about your operations and share how we've helped similar Industrial companies achieve their water quality and sustainability goals. Would you have some time this week or next to connect?</v>
      </c>
    </row>
    <row r="96" spans="1:5" ht="126" hidden="1" x14ac:dyDescent="0.25">
      <c r="A96" s="4" t="s">
        <v>222</v>
      </c>
      <c r="B96" s="4" t="s">
        <v>681</v>
      </c>
      <c r="C96" s="4" t="s">
        <v>677</v>
      </c>
      <c r="D96" s="4" t="s">
        <v>657</v>
      </c>
      <c r="E96" s="50" t="str">
        <f t="shared" si="1"/>
        <v>Hello, my name is Rob Lee from Eclipsewater Technology and Services. I'm reaching out to International Marine Group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International Marine Group's water treatment needs. I'd love to schedule a brief call to learn more about your operations and share how we've helped similar Industrial companies achieve their water quality and sustainability goals. Would you have some time this week or next to connect?</v>
      </c>
    </row>
    <row r="97" spans="1:5" ht="126" hidden="1" x14ac:dyDescent="0.25">
      <c r="A97" s="4" t="s">
        <v>510</v>
      </c>
      <c r="B97" s="4" t="s">
        <v>681</v>
      </c>
      <c r="C97" s="4" t="s">
        <v>677</v>
      </c>
      <c r="D97" s="4" t="s">
        <v>590</v>
      </c>
      <c r="E97" s="50" t="str">
        <f t="shared" si="1"/>
        <v>Hello, my name is Rob Lee from Eclipsewater Technology and Services. I'm reaching out to Heroux Devtek Inc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Heroux Devtek Inc's water treatment needs. I'd love to schedule a brief call to learn more about your operations and share how we've helped similar Industrial companies achieve their water quality and sustainability goals. Would you have some time this week or next to connect?</v>
      </c>
    </row>
    <row r="98" spans="1:5" ht="126" hidden="1" x14ac:dyDescent="0.25">
      <c r="A98" s="4" t="s">
        <v>16</v>
      </c>
      <c r="B98" s="4" t="s">
        <v>681</v>
      </c>
      <c r="C98" s="4" t="s">
        <v>677</v>
      </c>
      <c r="D98" s="4" t="s">
        <v>209</v>
      </c>
      <c r="E98" s="50" t="str">
        <f t="shared" si="1"/>
        <v>Hello, my name is Rob Lee from Eclipsewater Technology and Services. I'm reaching out to Fona Canada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Fona Canada's water treatment needs. I'd love to schedule a brief call to learn more about your operations and share how we've helped similar Industrial companies achieve their water quality and sustainability goals. Would you have some time this week or next to connect?</v>
      </c>
    </row>
    <row r="99" spans="1:5" ht="126" hidden="1" x14ac:dyDescent="0.25">
      <c r="A99" s="4" t="s">
        <v>12</v>
      </c>
      <c r="B99" s="4" t="s">
        <v>681</v>
      </c>
      <c r="C99" s="4" t="s">
        <v>677</v>
      </c>
      <c r="D99" s="4" t="s">
        <v>590</v>
      </c>
      <c r="E99" s="50" t="str">
        <f t="shared" si="1"/>
        <v>Hello, my name is Rob Lee from Eclipsewater Technology and Services. I'm reaching out to Firan Technology Group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Firan Technology Group's water treatment needs. I'd love to schedule a brief call to learn more about your operations and share how we've helped similar Industrial companies achieve their water quality and sustainability goals. Would you have some time this week or next to connect?</v>
      </c>
    </row>
    <row r="100" spans="1:5" ht="126" hidden="1" x14ac:dyDescent="0.25">
      <c r="A100" s="4" t="s">
        <v>142</v>
      </c>
      <c r="B100" s="4" t="s">
        <v>681</v>
      </c>
      <c r="C100" s="4" t="s">
        <v>677</v>
      </c>
      <c r="D100" s="4" t="s">
        <v>588</v>
      </c>
      <c r="E100" s="50" t="str">
        <f t="shared" si="1"/>
        <v>Hello, my name is Rob Lee from Eclipsewater Technology and Services. I'm reaching out to Camco Inc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Camco Inc's water treatment needs. I'd love to schedule a brief call to learn more about your operations and share how we've helped similar Industrial companies achieve their water quality and sustainability goals. Would you have some time this week or next to connect?</v>
      </c>
    </row>
    <row r="101" spans="1:5" ht="126" hidden="1" x14ac:dyDescent="0.25">
      <c r="A101" s="4" t="s">
        <v>362</v>
      </c>
      <c r="B101" s="4" t="s">
        <v>681</v>
      </c>
      <c r="C101" s="4" t="s">
        <v>677</v>
      </c>
      <c r="D101" s="4" t="s">
        <v>612</v>
      </c>
      <c r="E101" s="50" t="str">
        <f t="shared" si="1"/>
        <v>Hello, my name is Rob Lee from Eclipsewater Technology and Services. I'm reaching out to Aerotek Manufacturing (Cametoid) because we specialize in providing industrial water treatment solutions for companies in the Industrial sector, particularly those in the Manufacturing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Aerotek Manufacturing (Cametoid)'s water treatment needs. I'd love to schedule a brief call to learn more about your operations and share how we've helped similar Industrial companies achieve their water quality and sustainability goals. Would you have some time this week or next to connect?</v>
      </c>
    </row>
    <row r="102" spans="1:5" ht="126" x14ac:dyDescent="0.25">
      <c r="A102" s="4" t="s">
        <v>656</v>
      </c>
      <c r="B102" s="4" t="s">
        <v>681</v>
      </c>
      <c r="C102" s="4" t="s">
        <v>673</v>
      </c>
      <c r="D102" s="4" t="s">
        <v>209</v>
      </c>
      <c r="E102" s="50" t="str">
        <f t="shared" si="1"/>
        <v>Hello, my name is Rob Lee from Eclipsewater Technology and Services. I'm reaching out to Xerox Supplies Development Centre because we specialize in providing industrial water treatment solutions for companies in the Industrial sector, particularly those in the Laboratory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Xerox Supplies Development Centre's water treatment needs. I'd love to schedule a brief call to learn more about your operations and share how we've helped similar Industrial companies achieve their water quality and sustainability goals. Would you have some time this week or next to connect?</v>
      </c>
    </row>
    <row r="103" spans="1:5" ht="126" x14ac:dyDescent="0.25">
      <c r="A103" s="29" t="s">
        <v>536</v>
      </c>
      <c r="B103" s="4" t="s">
        <v>681</v>
      </c>
      <c r="C103" s="4" t="s">
        <v>673</v>
      </c>
      <c r="D103" s="29" t="s">
        <v>590</v>
      </c>
      <c r="E103" s="50" t="str">
        <f t="shared" si="1"/>
        <v>Hello, my name is Rob Lee from Eclipsewater Technology and Services. I'm reaching out to Tidol Corp because we specialize in providing industrial water treatment solutions for companies in the Industrial sector, particularly those in the Laboratory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Tidol Corp's water treatment needs. I'd love to schedule a brief call to learn more about your operations and share how we've helped similar Industrial companies achieve their water quality and sustainability goals. Would you have some time this week or next to connect?</v>
      </c>
    </row>
    <row r="104" spans="1:5" ht="126" x14ac:dyDescent="0.25">
      <c r="A104" s="29" t="s">
        <v>76</v>
      </c>
      <c r="B104" s="4" t="s">
        <v>681</v>
      </c>
      <c r="C104" s="4" t="s">
        <v>673</v>
      </c>
      <c r="D104" s="29" t="s">
        <v>563</v>
      </c>
      <c r="E104" s="50" t="str">
        <f t="shared" si="1"/>
        <v>Hello, my name is Rob Lee from Eclipsewater Technology and Services. I'm reaching out to Llyods Labs because we specialize in providing industrial water treatment solutions for companies in the Industrial sector, particularly those in the Laboratory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Llyods Labs's water treatment needs. I'd love to schedule a brief call to learn more about your operations and share how we've helped similar Industrial companies achieve their water quality and sustainability goals. Would you have some time this week or next to connect?</v>
      </c>
    </row>
    <row r="105" spans="1:5" ht="126" hidden="1" x14ac:dyDescent="0.25">
      <c r="A105" s="4" t="s">
        <v>169</v>
      </c>
      <c r="B105" s="4" t="s">
        <v>681</v>
      </c>
      <c r="C105" s="4" t="s">
        <v>672</v>
      </c>
      <c r="D105" s="4" t="s">
        <v>595</v>
      </c>
      <c r="E105" s="50" t="str">
        <f t="shared" si="1"/>
        <v>Hello, my name is Rob Lee from Eclipsewater Technology and Services. I'm reaching out to Wildly Delicious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Wildly Delicious's water treatment needs. I'd love to schedule a brief call to learn more about your operations and share how we've helped similar Industrial companies achieve their water quality and sustainability goals. Would you have some time this week or next to connect?</v>
      </c>
    </row>
    <row r="106" spans="1:5" hidden="1" x14ac:dyDescent="0.25">
      <c r="A106" s="4" t="s">
        <v>575</v>
      </c>
      <c r="B106" s="4" t="s">
        <v>685</v>
      </c>
      <c r="C106" s="4" t="s">
        <v>672</v>
      </c>
      <c r="D106" s="4" t="s">
        <v>268</v>
      </c>
      <c r="E106" s="49" t="str">
        <f t="shared" si="1"/>
        <v>Hello, my name is Rob Lee from Eclipsewater Technology and Services. I'm reaching out to Vincor International Inc because we specialize in providing industrial water treatment solutions for companies in the Retail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Vincor International Inc's water treatment needs. I'd love to schedule a brief call to learn more about your operations and share how we've helped similar Retail companies achieve their water quality and sustainability goals. Would you have some time this week or next to connect?</v>
      </c>
    </row>
    <row r="107" spans="1:5" ht="126" hidden="1" x14ac:dyDescent="0.25">
      <c r="A107" s="4" t="s">
        <v>114</v>
      </c>
      <c r="B107" s="4" t="s">
        <v>681</v>
      </c>
      <c r="C107" s="4" t="s">
        <v>672</v>
      </c>
      <c r="D107" s="4" t="s">
        <v>115</v>
      </c>
      <c r="E107" s="50" t="str">
        <f t="shared" si="1"/>
        <v>Hello, my name is Rob Lee from Eclipsewater Technology and Services. I'm reaching out to Thomas Canning (Maidstone) Ltd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Thomas Canning (Maidstone) Ltd's water treatment needs. I'd love to schedule a brief call to learn more about your operations and share how we've helped similar Industrial companies achieve their water quality and sustainability goals. Would you have some time this week or next to connect?</v>
      </c>
    </row>
    <row r="108" spans="1:5" ht="126" hidden="1" x14ac:dyDescent="0.25">
      <c r="A108" s="4" t="s">
        <v>415</v>
      </c>
      <c r="B108" s="4" t="s">
        <v>681</v>
      </c>
      <c r="C108" s="4" t="s">
        <v>672</v>
      </c>
      <c r="D108" s="4" t="s">
        <v>595</v>
      </c>
      <c r="E108" s="50" t="str">
        <f t="shared" si="1"/>
        <v>Hello, my name is Rob Lee from Eclipsewater Technology and Services. I'm reaching out to Select Foods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Select Foods's water treatment needs. I'd love to schedule a brief call to learn more about your operations and share how we've helped similar Industrial companies achieve their water quality and sustainability goals. Would you have some time this week or next to connect?</v>
      </c>
    </row>
    <row r="109" spans="1:5" ht="126" hidden="1" x14ac:dyDescent="0.25">
      <c r="A109" s="4" t="s">
        <v>394</v>
      </c>
      <c r="B109" s="4" t="s">
        <v>681</v>
      </c>
      <c r="C109" s="4" t="s">
        <v>672</v>
      </c>
      <c r="D109" s="4" t="s">
        <v>395</v>
      </c>
      <c r="E109" s="50" t="str">
        <f t="shared" si="1"/>
        <v>Hello, my name is Rob Lee from Eclipsewater Technology and Services. I'm reaching out to Scotland Agromart Ltd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Scotland Agromart Ltd's water treatment needs. I'd love to schedule a brief call to learn more about your operations and share how we've helped similar Industrial companies achieve their water quality and sustainability goals. Would you have some time this week or next to connect?</v>
      </c>
    </row>
    <row r="110" spans="1:5" ht="126" hidden="1" x14ac:dyDescent="0.25">
      <c r="A110" s="29" t="s">
        <v>2</v>
      </c>
      <c r="B110" s="4" t="s">
        <v>681</v>
      </c>
      <c r="C110" s="4" t="s">
        <v>672</v>
      </c>
      <c r="D110" s="29" t="s">
        <v>209</v>
      </c>
      <c r="E110" s="50" t="str">
        <f t="shared" si="1"/>
        <v>Hello, my name is Rob Lee from Eclipsewater Technology and Services. I'm reaching out to Pride Pak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Pride Pak's water treatment needs. I'd love to schedule a brief call to learn more about your operations and share how we've helped similar Industrial companies achieve their water quality and sustainability goals. Would you have some time this week or next to connect?</v>
      </c>
    </row>
    <row r="111" spans="1:5" ht="126" hidden="1" x14ac:dyDescent="0.25">
      <c r="A111" s="4" t="s">
        <v>242</v>
      </c>
      <c r="B111" s="4" t="s">
        <v>681</v>
      </c>
      <c r="C111" s="4" t="s">
        <v>672</v>
      </c>
      <c r="D111" s="4" t="s">
        <v>40</v>
      </c>
      <c r="E111" s="50" t="str">
        <f t="shared" si="1"/>
        <v>Hello, my name is Rob Lee from Eclipsewater Technology and Services. I'm reaching out to Port Colborne Poultry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Port Colborne Poultry's water treatment needs. I'd love to schedule a brief call to learn more about your operations and share how we've helped similar Industrial companies achieve their water quality and sustainability goals. Would you have some time this week or next to connect?</v>
      </c>
    </row>
    <row r="112" spans="1:5" ht="126" hidden="1" x14ac:dyDescent="0.25">
      <c r="A112" s="4" t="s">
        <v>129</v>
      </c>
      <c r="B112" s="4" t="s">
        <v>681</v>
      </c>
      <c r="C112" s="4" t="s">
        <v>672</v>
      </c>
      <c r="D112" s="4" t="s">
        <v>209</v>
      </c>
      <c r="E112" s="50" t="str">
        <f t="shared" si="1"/>
        <v>Hello, my name is Rob Lee from Eclipsewater Technology and Services. I'm reaching out to Multi-Blend Ltd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Multi-Blend Ltd's water treatment needs. I'd love to schedule a brief call to learn more about your operations and share how we've helped similar Industrial companies achieve their water quality and sustainability goals. Would you have some time this week or next to connect?</v>
      </c>
    </row>
    <row r="113" spans="1:5" ht="126" hidden="1" x14ac:dyDescent="0.25">
      <c r="A113" s="4" t="s">
        <v>151</v>
      </c>
      <c r="B113" s="4" t="s">
        <v>681</v>
      </c>
      <c r="C113" s="4" t="s">
        <v>672</v>
      </c>
      <c r="D113" s="4" t="s">
        <v>363</v>
      </c>
      <c r="E113" s="50" t="str">
        <f t="shared" si="1"/>
        <v>Hello, my name is Rob Lee from Eclipsewater Technology and Services. I'm reaching out to Molson Canada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Molson Canada's water treatment needs. I'd love to schedule a brief call to learn more about your operations and share how we've helped similar Industrial companies achieve their water quality and sustainability goals. Would you have some time this week or next to connect?</v>
      </c>
    </row>
    <row r="114" spans="1:5" ht="126" hidden="1" x14ac:dyDescent="0.25">
      <c r="A114" s="4" t="s">
        <v>125</v>
      </c>
      <c r="B114" s="4" t="s">
        <v>681</v>
      </c>
      <c r="C114" s="4" t="s">
        <v>672</v>
      </c>
      <c r="D114" s="4" t="s">
        <v>563</v>
      </c>
      <c r="E114" s="50" t="str">
        <f t="shared" si="1"/>
        <v>Hello, my name is Rob Lee from Eclipsewater Technology and Services. I'm reaching out to Minute Maid Canada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Minute Maid Canada Inc's water treatment needs. I'd love to schedule a brief call to learn more about your operations and share how we've helped similar Industrial companies achieve their water quality and sustainability goals. Would you have some time this week or next to connect?</v>
      </c>
    </row>
    <row r="115" spans="1:5" ht="126" hidden="1" x14ac:dyDescent="0.25">
      <c r="A115" s="4" t="s">
        <v>121</v>
      </c>
      <c r="B115" s="4" t="s">
        <v>681</v>
      </c>
      <c r="C115" s="4" t="s">
        <v>672</v>
      </c>
      <c r="D115" s="4" t="s">
        <v>210</v>
      </c>
      <c r="E115" s="50" t="str">
        <f t="shared" si="1"/>
        <v>Hello, my name is Rob Lee from Eclipsewater Technology and Services. I'm reaching out to Maple Leaf Pork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Maple Leaf Pork's water treatment needs. I'd love to schedule a brief call to learn more about your operations and share how we've helped similar Industrial companies achieve their water quality and sustainability goals. Would you have some time this week or next to connect?</v>
      </c>
    </row>
    <row r="116" spans="1:5" ht="126" hidden="1" x14ac:dyDescent="0.25">
      <c r="A116" s="4" t="s">
        <v>407</v>
      </c>
      <c r="B116" s="4" t="s">
        <v>681</v>
      </c>
      <c r="C116" s="4" t="s">
        <v>672</v>
      </c>
      <c r="D116" s="4" t="s">
        <v>216</v>
      </c>
      <c r="E116" s="50" t="str">
        <f t="shared" si="1"/>
        <v>Hello, my name is Rob Lee from Eclipsewater Technology and Services. I'm reaching out to Maple Leaf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Maple Leaf 's water treatment needs. I'd love to schedule a brief call to learn more about your operations and share how we've helped similar Industrial companies achieve their water quality and sustainability goals. Would you have some time this week or next to connect?</v>
      </c>
    </row>
    <row r="117" spans="1:5" ht="126" hidden="1" x14ac:dyDescent="0.25">
      <c r="A117" s="4" t="s">
        <v>593</v>
      </c>
      <c r="B117" s="4" t="s">
        <v>681</v>
      </c>
      <c r="C117" s="4" t="s">
        <v>672</v>
      </c>
      <c r="D117" s="4" t="s">
        <v>590</v>
      </c>
      <c r="E117" s="50" t="str">
        <f t="shared" si="1"/>
        <v>Hello, my name is Rob Lee from Eclipsewater Technology and Services. I'm reaching out to Kraft Canada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Kraft Canada Inc's water treatment needs. I'd love to schedule a brief call to learn more about your operations and share how we've helped similar Industrial companies achieve their water quality and sustainability goals. Would you have some time this week or next to connect?</v>
      </c>
    </row>
    <row r="118" spans="1:5" hidden="1" x14ac:dyDescent="0.25">
      <c r="A118" s="29" t="s">
        <v>522</v>
      </c>
      <c r="B118" s="4" t="s">
        <v>672</v>
      </c>
      <c r="C118" s="36" t="s">
        <v>672</v>
      </c>
      <c r="D118" s="29" t="s">
        <v>209</v>
      </c>
      <c r="E118" s="49" t="str">
        <f t="shared" si="1"/>
        <v>Hello, my name is Rob Lee from Eclipsewater Technology and Services. I'm reaching out to Kraft Canada (Altech) because we specialize in providing industrial water treatment solutions for companies in the Food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Kraft Canada (Altech)'s water treatment needs. I'd love to schedule a brief call to learn more about your operations and share how we've helped similar Food companies achieve their water quality and sustainability goals. Would you have some time this week or next to connect?</v>
      </c>
    </row>
    <row r="119" spans="1:5" ht="126" hidden="1" x14ac:dyDescent="0.25">
      <c r="A119" s="29" t="s">
        <v>153</v>
      </c>
      <c r="B119" s="4" t="s">
        <v>681</v>
      </c>
      <c r="C119" s="4" t="s">
        <v>672</v>
      </c>
      <c r="D119" s="29" t="s">
        <v>209</v>
      </c>
      <c r="E119" s="50" t="str">
        <f t="shared" si="1"/>
        <v>Hello, my name is Rob Lee from Eclipsewater Technology and Services. I'm reaching out to Kingsway Chocolate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Kingsway Chocolate's water treatment needs. I'd love to schedule a brief call to learn more about your operations and share how we've helped similar Industrial companies achieve their water quality and sustainability goals. Would you have some time this week or next to connect?</v>
      </c>
    </row>
    <row r="120" spans="1:5" ht="126" hidden="1" x14ac:dyDescent="0.25">
      <c r="A120" s="29" t="s">
        <v>224</v>
      </c>
      <c r="B120" s="4" t="s">
        <v>681</v>
      </c>
      <c r="C120" s="4" t="s">
        <v>672</v>
      </c>
      <c r="D120" s="29" t="s">
        <v>553</v>
      </c>
      <c r="E120" s="50" t="str">
        <f t="shared" si="1"/>
        <v>Hello, my name is Rob Lee from Eclipsewater Technology and Services. I'm reaching out to Jempak Canada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Jempak Canada Inc's water treatment needs. I'd love to schedule a brief call to learn more about your operations and share how we've helped similar Industrial companies achieve their water quality and sustainability goals. Would you have some time this week or next to connect?</v>
      </c>
    </row>
    <row r="121" spans="1:5" ht="126" hidden="1" x14ac:dyDescent="0.25">
      <c r="A121" s="4" t="s">
        <v>231</v>
      </c>
      <c r="B121" s="4" t="s">
        <v>681</v>
      </c>
      <c r="C121" s="4" t="s">
        <v>672</v>
      </c>
      <c r="D121" s="4" t="s">
        <v>209</v>
      </c>
      <c r="E121" s="50" t="str">
        <f t="shared" si="1"/>
        <v>Hello, my name is Rob Lee from Eclipsewater Technology and Services. I'm reaching out to Imperial Flavours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Imperial Flavours's water treatment needs. I'd love to schedule a brief call to learn more about your operations and share how we've helped similar Industrial companies achieve their water quality and sustainability goals. Would you have some time this week or next to connect?</v>
      </c>
    </row>
    <row r="122" spans="1:5" ht="126" hidden="1" x14ac:dyDescent="0.25">
      <c r="A122" s="29" t="s">
        <v>495</v>
      </c>
      <c r="B122" s="4" t="s">
        <v>681</v>
      </c>
      <c r="C122" s="4" t="s">
        <v>672</v>
      </c>
      <c r="D122" s="29" t="s">
        <v>580</v>
      </c>
      <c r="E122" s="50" t="str">
        <f t="shared" si="1"/>
        <v>Hello, my name is Rob Lee from Eclipsewater Technology and Services. I'm reaching out to Horton Quality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Horton Quality's water treatment needs. I'd love to schedule a brief call to learn more about your operations and share how we've helped similar Industrial companies achieve their water quality and sustainability goals. Would you have some time this week or next to connect?</v>
      </c>
    </row>
    <row r="123" spans="1:5" ht="126" hidden="1" x14ac:dyDescent="0.25">
      <c r="A123" s="4" t="s">
        <v>409</v>
      </c>
      <c r="B123" s="4" t="s">
        <v>681</v>
      </c>
      <c r="C123" s="4" t="s">
        <v>672</v>
      </c>
      <c r="D123" s="30" t="s">
        <v>201</v>
      </c>
      <c r="E123" s="50" t="str">
        <f t="shared" si="1"/>
        <v>Hello, my name is Rob Lee from Eclipsewater Technology and Services. I'm reaching out to Fromages Saputo Ltee s.e.n.c. (Les)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Fromages Saputo Ltee s.e.n.c. (Les)'s water treatment needs. I'd love to schedule a brief call to learn more about your operations and share how we've helped similar Industrial companies achieve their water quality and sustainability goals. Would you have some time this week or next to connect?</v>
      </c>
    </row>
    <row r="124" spans="1:5" ht="126" hidden="1" x14ac:dyDescent="0.25">
      <c r="A124" s="4" t="s">
        <v>267</v>
      </c>
      <c r="B124" s="4" t="s">
        <v>681</v>
      </c>
      <c r="C124" s="4" t="s">
        <v>672</v>
      </c>
      <c r="D124" s="4" t="s">
        <v>260</v>
      </c>
      <c r="E124" s="50" t="str">
        <f t="shared" si="1"/>
        <v>Hello, my name is Rob Lee from Eclipsewater Technology and Services. I'm reaching out to Fleischmann`s Yeast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Fleischmann`s Yeast's water treatment needs. I'd love to schedule a brief call to learn more about your operations and share how we've helped similar Industrial companies achieve their water quality and sustainability goals. Would you have some time this week or next to connect?</v>
      </c>
    </row>
    <row r="125" spans="1:5" ht="126" hidden="1" x14ac:dyDescent="0.25">
      <c r="A125" s="4" t="s">
        <v>13</v>
      </c>
      <c r="B125" s="4" t="s">
        <v>681</v>
      </c>
      <c r="C125" s="4" t="s">
        <v>672</v>
      </c>
      <c r="D125" s="4" t="s">
        <v>590</v>
      </c>
      <c r="E125" s="50" t="str">
        <f t="shared" si="1"/>
        <v>Hello, my name is Rob Lee from Eclipsewater Technology and Services. I'm reaching out to Flavorchem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Flavorchem Inc's water treatment needs. I'd love to schedule a brief call to learn more about your operations and share how we've helped similar Industrial companies achieve their water quality and sustainability goals. Would you have some time this week or next to connect?</v>
      </c>
    </row>
    <row r="126" spans="1:5" ht="126" hidden="1" x14ac:dyDescent="0.25">
      <c r="A126" s="4" t="s">
        <v>659</v>
      </c>
      <c r="B126" s="4" t="s">
        <v>681</v>
      </c>
      <c r="C126" s="4" t="s">
        <v>672</v>
      </c>
      <c r="D126" s="4" t="s">
        <v>270</v>
      </c>
      <c r="E126" s="50" t="str">
        <f t="shared" si="1"/>
        <v>Hello, my name is Rob Lee from Eclipsewater Technology and Services. I'm reaching out to Cdn Ferro Refractories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Cdn Ferro Refractories Inc's water treatment needs. I'd love to schedule a brief call to learn more about your operations and share how we've helped similar Industrial companies achieve their water quality and sustainability goals. Would you have some time this week or next to connect?</v>
      </c>
    </row>
    <row r="127" spans="1:5" ht="126" hidden="1" x14ac:dyDescent="0.25">
      <c r="A127" s="4" t="s">
        <v>148</v>
      </c>
      <c r="B127" s="4" t="s">
        <v>681</v>
      </c>
      <c r="C127" s="4" t="s">
        <v>672</v>
      </c>
      <c r="D127" s="4" t="s">
        <v>40</v>
      </c>
      <c r="E127" s="50" t="str">
        <f t="shared" si="1"/>
        <v>Hello, my name is Rob Lee from Eclipsewater Technology and Services. I'm reaching out to Casco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Casco Inc's water treatment needs. I'd love to schedule a brief call to learn more about your operations and share how we've helped similar Industrial companies achieve their water quality and sustainability goals. Would you have some time this week or next to connect?</v>
      </c>
    </row>
    <row r="128" spans="1:5" ht="113.4" hidden="1" x14ac:dyDescent="0.25">
      <c r="A128" s="4" t="s">
        <v>146</v>
      </c>
      <c r="B128" s="4" t="s">
        <v>681</v>
      </c>
      <c r="C128" s="4" t="s">
        <v>672</v>
      </c>
      <c r="D128" s="4" t="s">
        <v>50</v>
      </c>
      <c r="E128" s="50" t="str">
        <f t="shared" si="1"/>
        <v>Hello, my name is Rob Lee from Eclipsewater Technology and Services. I'm reaching out to Canvil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Canvil's water treatment needs. I'd love to schedule a brief call to learn more about your operations and share how we've helped similar Industrial companies achieve their water quality and sustainability goals. Would you have some time this week or next to connect?</v>
      </c>
    </row>
    <row r="129" spans="1:5" ht="126" hidden="1" x14ac:dyDescent="0.25">
      <c r="A129" s="4" t="s">
        <v>262</v>
      </c>
      <c r="B129" s="4" t="s">
        <v>681</v>
      </c>
      <c r="C129" s="4" t="s">
        <v>672</v>
      </c>
      <c r="D129" s="4" t="s">
        <v>588</v>
      </c>
      <c r="E129" s="50" t="str">
        <f t="shared" ref="E129:E192" si="2">IF(A129="","","Hello, my name is Rob Lee from Eclipsewater Technology and Services. I'm reaching out to "&amp;A129&amp;" because we specialize in providing industrial water treatment solutions for companies in the "&amp;B129&amp;" sector"&amp;IF(C129&lt;&gt;"", ", particularly those in the "&amp;C129&amp;"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")&amp;A129&amp;"'s water treatment needs. I'd love to schedule a brief call to learn more about your operations and share how we've helped similar "&amp;B129&amp;" companies achieve their water quality and sustainability goals. Would you have some time this week or next to connect?")</f>
        <v>Hello, my name is Rob Lee from Eclipsewater Technology and Services. I'm reaching out to Bunge canada-East Bldg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Bunge canada-East Bldg's water treatment needs. I'd love to schedule a brief call to learn more about your operations and share how we've helped similar Industrial companies achieve their water quality and sustainability goals. Would you have some time this week or next to connect?</v>
      </c>
    </row>
    <row r="130" spans="1:5" ht="126" hidden="1" x14ac:dyDescent="0.25">
      <c r="A130" s="4" t="s">
        <v>1</v>
      </c>
      <c r="B130" s="4" t="s">
        <v>681</v>
      </c>
      <c r="C130" s="4" t="s">
        <v>672</v>
      </c>
      <c r="D130" s="4" t="s">
        <v>588</v>
      </c>
      <c r="E130" s="50" t="str">
        <f t="shared" si="2"/>
        <v>Hello, my name is Rob Lee from Eclipsewater Technology and Services. I'm reaching out to Bunge Canada - East Bldg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Bunge Canada - East Bldg's water treatment needs. I'd love to schedule a brief call to learn more about your operations and share how we've helped similar Industrial companies achieve their water quality and sustainability goals. Would you have some time this week or next to connect?</v>
      </c>
    </row>
    <row r="131" spans="1:5" ht="126" hidden="1" x14ac:dyDescent="0.25">
      <c r="A131" s="4" t="s">
        <v>141</v>
      </c>
      <c r="B131" s="4" t="s">
        <v>681</v>
      </c>
      <c r="C131" s="4" t="s">
        <v>672</v>
      </c>
      <c r="D131" s="4" t="s">
        <v>588</v>
      </c>
      <c r="E131" s="50" t="str">
        <f t="shared" si="2"/>
        <v>Hello, my name is Rob Lee from Eclipsewater Technology and Services. I'm reaching out to Bunge Canada - De Gumming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Bunge Canada - De Gumming's water treatment needs. I'd love to schedule a brief call to learn more about your operations and share how we've helped similar Industrial companies achieve their water quality and sustainability goals. Would you have some time this week or next to connect?</v>
      </c>
    </row>
    <row r="132" spans="1:5" ht="126" hidden="1" x14ac:dyDescent="0.25">
      <c r="A132" s="4" t="s">
        <v>140</v>
      </c>
      <c r="B132" s="4" t="s">
        <v>681</v>
      </c>
      <c r="C132" s="4" t="s">
        <v>672</v>
      </c>
      <c r="D132" s="4" t="s">
        <v>588</v>
      </c>
      <c r="E132" s="50" t="str">
        <f t="shared" si="2"/>
        <v>Hello, my name is Rob Lee from Eclipsewater Technology and Services. I'm reaching out to Bunge Canada - Boiler Room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Bunge Canada - Boiler Room's water treatment needs. I'd love to schedule a brief call to learn more about your operations and share how we've helped similar Industrial companies achieve their water quality and sustainability goals. Would you have some time this week or next to connect?</v>
      </c>
    </row>
    <row r="133" spans="1:5" ht="126" hidden="1" x14ac:dyDescent="0.25">
      <c r="A133" s="4" t="s">
        <v>545</v>
      </c>
      <c r="B133" s="4" t="s">
        <v>681</v>
      </c>
      <c r="C133" s="4" t="s">
        <v>672</v>
      </c>
      <c r="D133" s="4" t="s">
        <v>534</v>
      </c>
      <c r="E133" s="50" t="str">
        <f t="shared" si="2"/>
        <v>Hello, my name is Rob Lee from Eclipsewater Technology and Services. I'm reaching out to Bicks Pickles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Bicks Pickles's water treatment needs. I'd love to schedule a brief call to learn more about your operations and share how we've helped similar Industrial companies achieve their water quality and sustainability goals. Would you have some time this week or next to connect?</v>
      </c>
    </row>
    <row r="134" spans="1:5" ht="126" hidden="1" x14ac:dyDescent="0.25">
      <c r="A134" s="4" t="s">
        <v>25</v>
      </c>
      <c r="B134" s="4" t="s">
        <v>681</v>
      </c>
      <c r="C134" s="4" t="s">
        <v>672</v>
      </c>
      <c r="D134" s="4" t="s">
        <v>270</v>
      </c>
      <c r="E134" s="50" t="str">
        <f t="shared" si="2"/>
        <v>Hello, my name is Rob Lee from Eclipsewater Technology and Services. I'm reaching out to Bartek Ingredients Inc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Bartek Ingredients Inc's water treatment needs. I'd love to schedule a brief call to learn more about your operations and share how we've helped similar Industrial companies achieve their water quality and sustainability goals. Would you have some time this week or next to connect?</v>
      </c>
    </row>
    <row r="135" spans="1:5" ht="126" hidden="1" x14ac:dyDescent="0.25">
      <c r="A135" s="4" t="s">
        <v>197</v>
      </c>
      <c r="B135" s="4" t="s">
        <v>681</v>
      </c>
      <c r="C135" s="4" t="s">
        <v>672</v>
      </c>
      <c r="D135" s="4" t="s">
        <v>588</v>
      </c>
      <c r="E135" s="50" t="str">
        <f t="shared" si="2"/>
        <v>Hello, my name is Rob Lee from Eclipsewater Technology and Services. I'm reaching out to Allan Candy Co (Cadbury Adams) because we specialize in providing industrial water treatment solutions for companies in the Industrial sector, particularly those in the Food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Allan Candy Co (Cadbury Adams)'s water treatment needs. I'd love to schedule a brief call to learn more about your operations and share how we've helped similar Industrial companies achieve their water quality and sustainability goals. Would you have some time this week or next to connect?</v>
      </c>
    </row>
    <row r="136" spans="1:5" ht="126" hidden="1" x14ac:dyDescent="0.25">
      <c r="A136" s="4" t="s">
        <v>116</v>
      </c>
      <c r="B136" s="4" t="s">
        <v>681</v>
      </c>
      <c r="C136" s="4" t="s">
        <v>676</v>
      </c>
      <c r="D136" s="4" t="s">
        <v>443</v>
      </c>
      <c r="E136" s="50" t="str">
        <f t="shared" si="2"/>
        <v>Hello, my name is Rob Lee from Eclipsewater Technology and Services. I'm reaching out to Mallory Industries Inc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Mallory Industries Inc's water treatment needs. I'd love to schedule a brief call to learn more about your operations and share how we've helped similar Industrial companies achieve their water quality and sustainability goals. Would you have some time this week or next to connect?</v>
      </c>
    </row>
    <row r="137" spans="1:5" ht="126" hidden="1" x14ac:dyDescent="0.25">
      <c r="A137" s="4" t="s">
        <v>504</v>
      </c>
      <c r="B137" s="4" t="s">
        <v>681</v>
      </c>
      <c r="C137" s="4" t="s">
        <v>676</v>
      </c>
      <c r="D137" s="4" t="s">
        <v>216</v>
      </c>
      <c r="E137" s="50" t="str">
        <f t="shared" si="2"/>
        <v>Hello, my name is Rob Lee from Eclipsewater Technology and Services. I'm reaching out to Lockwood Manufacturing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Lockwood Manufacturing's water treatment needs. I'd love to schedule a brief call to learn more about your operations and share how we've helped similar Industrial companies achieve their water quality and sustainability goals. Would you have some time this week or next to connect?</v>
      </c>
    </row>
    <row r="138" spans="1:5" ht="126" hidden="1" x14ac:dyDescent="0.25">
      <c r="A138" s="4" t="s">
        <v>221</v>
      </c>
      <c r="B138" s="4" t="s">
        <v>681</v>
      </c>
      <c r="C138" s="4" t="s">
        <v>676</v>
      </c>
      <c r="D138" s="4" t="s">
        <v>269</v>
      </c>
      <c r="E138" s="50" t="str">
        <f t="shared" si="2"/>
        <v>Hello, my name is Rob Lee from Eclipsewater Technology and Services. I'm reaching out to Integra Environmental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Integra Environmental's water treatment needs. I'd love to schedule a brief call to learn more about your operations and share how we've helped similar Industrial companies achieve their water quality and sustainability goals. Would you have some time this week or next to connect?</v>
      </c>
    </row>
    <row r="139" spans="1:5" ht="126" hidden="1" x14ac:dyDescent="0.25">
      <c r="A139" s="4" t="s">
        <v>193</v>
      </c>
      <c r="B139" s="4" t="s">
        <v>681</v>
      </c>
      <c r="C139" s="4" t="s">
        <v>676</v>
      </c>
      <c r="D139" s="4" t="s">
        <v>209</v>
      </c>
      <c r="E139" s="50" t="str">
        <f t="shared" si="2"/>
        <v>Hello, my name is Rob Lee from Eclipsewater Technology and Services. I'm reaching out to Glenco Industries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Glenco Industries's water treatment needs. I'd love to schedule a brief call to learn more about your operations and share how we've helped similar Industrial companies achieve their water quality and sustainability goals. Would you have some time this week or next to connect?</v>
      </c>
    </row>
    <row r="140" spans="1:5" ht="126" hidden="1" x14ac:dyDescent="0.25">
      <c r="A140" s="29" t="s">
        <v>524</v>
      </c>
      <c r="B140" s="4" t="s">
        <v>681</v>
      </c>
      <c r="C140" s="4" t="s">
        <v>676</v>
      </c>
      <c r="D140" s="29" t="s">
        <v>425</v>
      </c>
      <c r="E140" s="50" t="str">
        <f t="shared" si="2"/>
        <v>Hello, my name is Rob Lee from Eclipsewater Technology and Services. I'm reaching out to Enpro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Enpro's water treatment needs. I'd love to schedule a brief call to learn more about your operations and share how we've helped similar Industrial companies achieve their water quality and sustainability goals. Would you have some time this week or next to connect?</v>
      </c>
    </row>
    <row r="141" spans="1:5" ht="126" hidden="1" x14ac:dyDescent="0.25">
      <c r="A141" s="4" t="s">
        <v>422</v>
      </c>
      <c r="B141" s="4" t="s">
        <v>681</v>
      </c>
      <c r="C141" s="4" t="s">
        <v>676</v>
      </c>
      <c r="D141" s="4" t="s">
        <v>535</v>
      </c>
      <c r="E141" s="50" t="str">
        <f t="shared" si="2"/>
        <v>Hello, my name is Rob Lee from Eclipsewater Technology and Services. I'm reaching out to Culligan Niagara Water Technologies Inc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Culligan Niagara Water Technologies Inc's water treatment needs. I'd love to schedule a brief call to learn more about your operations and share how we've helped similar Industrial companies achieve their water quality and sustainability goals. Would you have some time this week or next to connect?</v>
      </c>
    </row>
    <row r="142" spans="1:5" ht="126" hidden="1" x14ac:dyDescent="0.25">
      <c r="A142" s="4" t="s">
        <v>27</v>
      </c>
      <c r="B142" s="4" t="s">
        <v>681</v>
      </c>
      <c r="C142" s="4" t="s">
        <v>676</v>
      </c>
      <c r="D142" s="4" t="s">
        <v>210</v>
      </c>
      <c r="E142" s="50" t="str">
        <f t="shared" si="2"/>
        <v>Hello, my name is Rob Lee from Eclipsewater Technology and Services. I'm reaching out to Biolab Equipment Canada  Ltd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Biolab Equipment Canada  Ltd's water treatment needs. I'd love to schedule a brief call to learn more about your operations and share how we've helped similar Industrial companies achieve their water quality and sustainability goals. Would you have some time this week or next to connect?</v>
      </c>
    </row>
    <row r="143" spans="1:5" ht="126" hidden="1" x14ac:dyDescent="0.25">
      <c r="A143" s="4" t="s">
        <v>372</v>
      </c>
      <c r="B143" s="4" t="s">
        <v>681</v>
      </c>
      <c r="C143" s="4" t="s">
        <v>676</v>
      </c>
      <c r="D143" s="4" t="s">
        <v>216</v>
      </c>
      <c r="E143" s="50" t="str">
        <f t="shared" si="2"/>
        <v>Hello, my name is Rob Lee from Eclipsewater Technology and Services. I'm reaching out to Atlas Hydraulics Inc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Atlas Hydraulics Inc's water treatment needs. I'd love to schedule a brief call to learn more about your operations and share how we've helped similar Industrial companies achieve their water quality and sustainability goals. Would you have some time this week or next to connect?</v>
      </c>
    </row>
    <row r="144" spans="1:5" ht="126" hidden="1" x14ac:dyDescent="0.25">
      <c r="A144" s="4" t="s">
        <v>368</v>
      </c>
      <c r="B144" s="4" t="s">
        <v>681</v>
      </c>
      <c r="C144" s="4" t="s">
        <v>676</v>
      </c>
      <c r="D144" s="4" t="s">
        <v>369</v>
      </c>
      <c r="E144" s="50" t="str">
        <f t="shared" si="2"/>
        <v>Hello, my name is Rob Lee from Eclipsewater Technology and Services. I'm reaching out to ASI Group because we specialize in providing industrial water treatment solutions for companies in the Industrial sector, particularly those in the Equipment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ASI Group's water treatment needs. I'd love to schedule a brief call to learn more about your operations and share how we've helped similar Industrial companies achieve their water quality and sustainability goals. Would you have some time this week or next to connect?</v>
      </c>
    </row>
    <row r="145" spans="1:5" ht="126" hidden="1" x14ac:dyDescent="0.25">
      <c r="A145" s="4" t="s">
        <v>35</v>
      </c>
      <c r="B145" s="4" t="s">
        <v>681</v>
      </c>
      <c r="C145" s="36" t="s">
        <v>667</v>
      </c>
      <c r="D145" s="4" t="s">
        <v>209</v>
      </c>
      <c r="E145" s="50" t="str">
        <f t="shared" si="2"/>
        <v>Hello, my name is Rob Lee from Eclipsewater Technology and Services. I'm reaching out to Transalta Cogeneration LP because we specialize in providing industrial water treatment solutions for companies in the Industrial sector, particularly those in the Energy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Transalta Cogeneration LP's water treatment needs. I'd love to schedule a brief call to learn more about your operations and share how we've helped similar Industrial companies achieve their water quality and sustainability goals. Would you have some time this week or next to connect?</v>
      </c>
    </row>
    <row r="146" spans="1:5" ht="126" hidden="1" x14ac:dyDescent="0.25">
      <c r="A146" s="29" t="s">
        <v>215</v>
      </c>
      <c r="B146" s="4" t="s">
        <v>681</v>
      </c>
      <c r="C146" s="36" t="s">
        <v>667</v>
      </c>
      <c r="D146" s="29" t="s">
        <v>513</v>
      </c>
      <c r="E146" s="50" t="str">
        <f t="shared" si="2"/>
        <v>Hello, my name is Rob Lee from Eclipsewater Technology and Services. I'm reaching out to Transalta because we specialize in providing industrial water treatment solutions for companies in the Industrial sector, particularly those in the Energy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Transalta's water treatment needs. I'd love to schedule a brief call to learn more about your operations and share how we've helped similar Industrial companies achieve their water quality and sustainability goals. Would you have some time this week or next to connect?</v>
      </c>
    </row>
    <row r="147" spans="1:5" ht="126" hidden="1" x14ac:dyDescent="0.25">
      <c r="A147" s="4" t="s">
        <v>245</v>
      </c>
      <c r="B147" s="4" t="s">
        <v>681</v>
      </c>
      <c r="C147" s="36" t="s">
        <v>667</v>
      </c>
      <c r="D147" s="4" t="s">
        <v>210</v>
      </c>
      <c r="E147" s="50" t="str">
        <f t="shared" si="2"/>
        <v>Hello, my name is Rob Lee from Eclipsewater Technology and Services. I'm reaching out to Propak Limited because we specialize in providing industrial water treatment solutions for companies in the Industrial sector, particularly those in the Energy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Propak Limited's water treatment needs. I'd love to schedule a brief call to learn more about your operations and share how we've helped similar Industrial companies achieve their water quality and sustainability goals. Would you have some time this week or next to connect?</v>
      </c>
    </row>
    <row r="148" spans="1:5" ht="126" hidden="1" x14ac:dyDescent="0.25">
      <c r="A148" s="4" t="s">
        <v>627</v>
      </c>
      <c r="B148" s="4" t="s">
        <v>681</v>
      </c>
      <c r="C148" s="36" t="s">
        <v>667</v>
      </c>
      <c r="D148" s="4" t="s">
        <v>268</v>
      </c>
      <c r="E148" s="50" t="str">
        <f t="shared" si="2"/>
        <v>Hello, my name is Rob Lee from Eclipsewater Technology and Services. I'm reaching out to Ontario Power Generation because we specialize in providing industrial water treatment solutions for companies in the Industrial sector, particularly those in the Energy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Ontario Power Generation's water treatment needs. I'd love to schedule a brief call to learn more about your operations and share how we've helped similar Industrial companies achieve their water quality and sustainability goals. Would you have some time this week or next to connect?</v>
      </c>
    </row>
    <row r="149" spans="1:5" ht="126" hidden="1" x14ac:dyDescent="0.25">
      <c r="A149" s="4" t="s">
        <v>406</v>
      </c>
      <c r="B149" s="4" t="s">
        <v>681</v>
      </c>
      <c r="C149" s="4" t="s">
        <v>678</v>
      </c>
      <c r="D149" s="4" t="s">
        <v>209</v>
      </c>
      <c r="E149" s="50" t="str">
        <f t="shared" si="2"/>
        <v>Hello, my name is Rob Lee from Eclipsewater Technology and Services. I'm reaching out to Pearlon Products Inc because we specialize in providing industrial water treatment solutions for companies in the Industrial sector, particularly those in the Cosmetics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Pearlon Products Inc's water treatment needs. I'd love to schedule a brief call to learn more about your operations and share how we've helped similar Industrial companies achieve their water quality and sustainability goals. Would you have some time this week or next to connect?</v>
      </c>
    </row>
    <row r="150" spans="1:5" ht="126" hidden="1" x14ac:dyDescent="0.25">
      <c r="A150" s="4" t="s">
        <v>17</v>
      </c>
      <c r="B150" s="4" t="s">
        <v>681</v>
      </c>
      <c r="C150" s="4" t="s">
        <v>678</v>
      </c>
      <c r="D150" s="4" t="s">
        <v>590</v>
      </c>
      <c r="E150" s="50" t="str">
        <f t="shared" si="2"/>
        <v>Hello, my name is Rob Lee from Eclipsewater Technology and Services. I'm reaching out to Gaya Industries Ltd because we specialize in providing industrial water treatment solutions for companies in the Industrial sector, particularly those in the Cosmetics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Gaya Industries Ltd's water treatment needs. I'd love to schedule a brief call to learn more about your operations and share how we've helped similar Industrial companies achieve their water quality and sustainability goals. Would you have some time this week or next to connect?</v>
      </c>
    </row>
    <row r="151" spans="1:5" hidden="1" x14ac:dyDescent="0.25">
      <c r="A151" s="4" t="s">
        <v>171</v>
      </c>
      <c r="B151" s="4" t="s">
        <v>683</v>
      </c>
      <c r="C151" s="4" t="s">
        <v>671</v>
      </c>
      <c r="D151" s="4" t="s">
        <v>590</v>
      </c>
      <c r="E151" s="49" t="str">
        <f t="shared" si="2"/>
        <v>Hello, my name is Rob Lee from Eclipsewater Technology and Services. I'm reaching out to Wyant Chemicals Ltd because we specialize in providing industrial water treatment solutions for companies in the Commercial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Wyant Chemicals Ltd's water treatment needs. I'd love to schedule a brief call to learn more about your operations and share how we've helped similar Commercial companies achieve their water quality and sustainability goals. Would you have some time this week or next to connect?</v>
      </c>
    </row>
    <row r="152" spans="1:5" ht="126" x14ac:dyDescent="0.25">
      <c r="A152" s="4" t="s">
        <v>578</v>
      </c>
      <c r="B152" s="4" t="s">
        <v>681</v>
      </c>
      <c r="C152" s="4" t="s">
        <v>671</v>
      </c>
      <c r="D152" s="4" t="s">
        <v>210</v>
      </c>
      <c r="E152" s="50" t="str">
        <f t="shared" si="2"/>
        <v>Hello, my name is Rob Lee from Eclipsewater Technology and Services. I'm reaching out to Water Energy Technologies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Water Energy Technologies's water treatment needs. I'd love to schedule a brief call to learn more about your operations and share how we've helped similar Industrial companies achieve their water quality and sustainability goals. Would you have some time this week or next to connect?</v>
      </c>
    </row>
    <row r="153" spans="1:5" hidden="1" x14ac:dyDescent="0.25">
      <c r="A153" s="29" t="s">
        <v>4</v>
      </c>
      <c r="B153" s="4" t="s">
        <v>683</v>
      </c>
      <c r="C153" s="36" t="s">
        <v>671</v>
      </c>
      <c r="D153" s="29" t="s">
        <v>209</v>
      </c>
      <c r="E153" s="49" t="str">
        <f t="shared" si="2"/>
        <v>Hello, my name is Rob Lee from Eclipsewater Technology and Services. I'm reaching out to Wash 21 because we specialize in providing industrial water treatment solutions for companies in the Commercial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Wash 21's water treatment needs. I'd love to schedule a brief call to learn more about your operations and share how we've helped similar Commercial companies achieve their water quality and sustainability goals. Would you have some time this week or next to connect?</v>
      </c>
    </row>
    <row r="154" spans="1:5" ht="126" x14ac:dyDescent="0.25">
      <c r="A154" s="4" t="s">
        <v>577</v>
      </c>
      <c r="B154" s="4" t="s">
        <v>681</v>
      </c>
      <c r="C154" s="4" t="s">
        <v>671</v>
      </c>
      <c r="D154" s="4" t="s">
        <v>553</v>
      </c>
      <c r="E154" s="50" t="str">
        <f t="shared" si="2"/>
        <v>Hello, my name is Rob Lee from Eclipsewater Technology and Services. I'm reaching out to Virox Technologies Inc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Virox Technologies Inc's water treatment needs. I'd love to schedule a brief call to learn more about your operations and share how we've helped similar Industrial companies achieve their water quality and sustainability goals. Would you have some time this week or next to connect?</v>
      </c>
    </row>
    <row r="155" spans="1:5" ht="126" x14ac:dyDescent="0.25">
      <c r="A155" s="4" t="s">
        <v>572</v>
      </c>
      <c r="B155" s="4" t="s">
        <v>681</v>
      </c>
      <c r="C155" s="4" t="s">
        <v>671</v>
      </c>
      <c r="D155" s="4" t="s">
        <v>210</v>
      </c>
      <c r="E155" s="50" t="str">
        <f t="shared" si="2"/>
        <v>Hello, my name is Rob Lee from Eclipsewater Technology and Services. I'm reaching out to Vanchem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Vanchem's water treatment needs. I'd love to schedule a brief call to learn more about your operations and share how we've helped similar Industrial companies achieve their water quality and sustainability goals. Would you have some time this week or next to connect?</v>
      </c>
    </row>
    <row r="156" spans="1:5" ht="126" x14ac:dyDescent="0.25">
      <c r="A156" s="4" t="s">
        <v>546</v>
      </c>
      <c r="B156" s="4" t="s">
        <v>681</v>
      </c>
      <c r="C156" s="4" t="s">
        <v>671</v>
      </c>
      <c r="D156" s="4" t="s">
        <v>209</v>
      </c>
      <c r="E156" s="50" t="str">
        <f t="shared" si="2"/>
        <v>Hello, my name is Rob Lee from Eclipsewater Technology and Services. I'm reaching out to Universal Drum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Universal Drum's water treatment needs. I'd love to schedule a brief call to learn more about your operations and share how we've helped similar Industrial companies achieve their water quality and sustainability goals. Would you have some time this week or next to connect?</v>
      </c>
    </row>
    <row r="157" spans="1:5" ht="126" x14ac:dyDescent="0.25">
      <c r="A157" s="4" t="s">
        <v>139</v>
      </c>
      <c r="B157" s="4" t="s">
        <v>681</v>
      </c>
      <c r="C157" s="4" t="s">
        <v>671</v>
      </c>
      <c r="D157" s="4" t="s">
        <v>209</v>
      </c>
      <c r="E157" s="50" t="str">
        <f t="shared" si="2"/>
        <v>Hello, my name is Rob Lee from Eclipsewater Technology and Services. I'm reaching out to UniFirst Canada Ltd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UniFirst Canada Ltd's water treatment needs. I'd love to schedule a brief call to learn more about your operations and share how we've helped similar Industrial companies achieve their water quality and sustainability goals. Would you have some time this week or next to connect?</v>
      </c>
    </row>
    <row r="158" spans="1:5" ht="126" x14ac:dyDescent="0.25">
      <c r="A158" s="4" t="s">
        <v>113</v>
      </c>
      <c r="B158" s="4" t="s">
        <v>681</v>
      </c>
      <c r="C158" s="4" t="s">
        <v>671</v>
      </c>
      <c r="D158" s="4" t="s">
        <v>209</v>
      </c>
      <c r="E158" s="50" t="str">
        <f t="shared" si="2"/>
        <v>Hello, my name is Rob Lee from Eclipsewater Technology and Services. I'm reaching out to Technical Adhesives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Technical Adhesives's water treatment needs. I'd love to schedule a brief call to learn more about your operations and share how we've helped similar Industrial companies achieve their water quality and sustainability goals. Would you have some time this week or next to connect?</v>
      </c>
    </row>
    <row r="159" spans="1:5" ht="126" x14ac:dyDescent="0.25">
      <c r="A159" s="4" t="s">
        <v>416</v>
      </c>
      <c r="B159" s="4" t="s">
        <v>681</v>
      </c>
      <c r="C159" s="4" t="s">
        <v>671</v>
      </c>
      <c r="D159" s="4" t="s">
        <v>209</v>
      </c>
      <c r="E159" s="50" t="str">
        <f t="shared" si="2"/>
        <v>Hello, my name is Rob Lee from Eclipsewater Technology and Services. I'm reaching out to Sensibly Clean Inc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Sensibly Clean Inc's water treatment needs. I'd love to schedule a brief call to learn more about your operations and share how we've helped similar Industrial companies achieve their water quality and sustainability goals. Would you have some time this week or next to connect?</v>
      </c>
    </row>
    <row r="160" spans="1:5" hidden="1" x14ac:dyDescent="0.25">
      <c r="A160" s="4" t="s">
        <v>412</v>
      </c>
      <c r="B160" s="4" t="s">
        <v>682</v>
      </c>
      <c r="C160" s="4" t="s">
        <v>671</v>
      </c>
      <c r="D160" s="4" t="s">
        <v>413</v>
      </c>
      <c r="E160" s="49" t="str">
        <f t="shared" si="2"/>
        <v>Hello, my name is Rob Lee from Eclipsewater Technology and Services. I'm reaching out to Rohm &amp; Haas Canada Inc because we specialize in providing industrial water treatment solutions for companies in the Automotive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Rohm &amp; Haas Canada Inc's water treatment needs. I'd love to schedule a brief call to learn more about your operations and share how we've helped similar Automotive companies achieve their water quality and sustainability goals. Would you have some time this week or next to connect?</v>
      </c>
    </row>
    <row r="161" spans="1:5" ht="126" x14ac:dyDescent="0.25">
      <c r="A161" s="4" t="s">
        <v>410</v>
      </c>
      <c r="B161" s="4" t="s">
        <v>681</v>
      </c>
      <c r="C161" s="4" t="s">
        <v>671</v>
      </c>
      <c r="D161" s="4" t="s">
        <v>209</v>
      </c>
      <c r="E161" s="50" t="str">
        <f t="shared" si="2"/>
        <v>Hello, my name is Rob Lee from Eclipsewater Technology and Services. I'm reaching out to Quest Inks and Coatings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Quest Inks and Coatings's water treatment needs. I'd love to schedule a brief call to learn more about your operations and share how we've helped similar Industrial companies achieve their water quality and sustainability goals. Would you have some time this week or next to connect?</v>
      </c>
    </row>
    <row r="162" spans="1:5" ht="126" x14ac:dyDescent="0.25">
      <c r="A162" s="29" t="s">
        <v>564</v>
      </c>
      <c r="B162" s="4" t="s">
        <v>681</v>
      </c>
      <c r="C162" s="4" t="s">
        <v>671</v>
      </c>
      <c r="D162" s="29" t="s">
        <v>590</v>
      </c>
      <c r="E162" s="50" t="str">
        <f t="shared" si="2"/>
        <v>Hello, my name is Rob Lee from Eclipsewater Technology and Services. I'm reaching out to Praxair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Praxair's water treatment needs. I'd love to schedule a brief call to learn more about your operations and share how we've helped similar Industrial companies achieve their water quality and sustainability goals. Would you have some time this week or next to connect?</v>
      </c>
    </row>
    <row r="163" spans="1:5" ht="126" x14ac:dyDescent="0.25">
      <c r="A163" s="29" t="s">
        <v>539</v>
      </c>
      <c r="B163" s="4" t="s">
        <v>681</v>
      </c>
      <c r="C163" s="4" t="s">
        <v>671</v>
      </c>
      <c r="D163" s="29" t="s">
        <v>598</v>
      </c>
      <c r="E163" s="50" t="str">
        <f t="shared" si="2"/>
        <v>Hello, my name is Rob Lee from Eclipsewater Technology and Services. I'm reaching out to PMC Water Systems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PMC Water Systems's water treatment needs. I'd love to schedule a brief call to learn more about your operations and share how we've helped similar Industrial companies achieve their water quality and sustainability goals. Would you have some time this week or next to connect?</v>
      </c>
    </row>
    <row r="164" spans="1:5" ht="126" x14ac:dyDescent="0.25">
      <c r="A164" s="4" t="s">
        <v>404</v>
      </c>
      <c r="B164" s="4" t="s">
        <v>681</v>
      </c>
      <c r="C164" s="4" t="s">
        <v>671</v>
      </c>
      <c r="D164" s="4" t="s">
        <v>588</v>
      </c>
      <c r="E164" s="50" t="str">
        <f t="shared" si="2"/>
        <v>Hello, my name is Rob Lee from Eclipsewater Technology and Services. I'm reaching out to Ontario Chemical Cleaning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Ontario Chemical Cleaning's water treatment needs. I'd love to schedule a brief call to learn more about your operations and share how we've helped similar Industrial companies achieve their water quality and sustainability goals. Would you have some time this week or next to connect?</v>
      </c>
    </row>
    <row r="165" spans="1:5" ht="126" x14ac:dyDescent="0.25">
      <c r="A165" s="4" t="s">
        <v>547</v>
      </c>
      <c r="B165" s="4" t="s">
        <v>681</v>
      </c>
      <c r="C165" s="4" t="s">
        <v>671</v>
      </c>
      <c r="D165" s="4" t="s">
        <v>210</v>
      </c>
      <c r="E165" s="50" t="str">
        <f t="shared" si="2"/>
        <v>Hello, my name is Rob Lee from Eclipsewater Technology and Services. I'm reaching out to Norjohn Ltd-Emulsions Division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Norjohn Ltd-Emulsions Division's water treatment needs. I'd love to schedule a brief call to learn more about your operations and share how we've helped similar Industrial companies achieve their water quality and sustainability goals. Would you have some time this week or next to connect?</v>
      </c>
    </row>
    <row r="166" spans="1:5" ht="126" x14ac:dyDescent="0.25">
      <c r="A166" s="4" t="s">
        <v>234</v>
      </c>
      <c r="B166" s="4" t="s">
        <v>681</v>
      </c>
      <c r="C166" s="4" t="s">
        <v>671</v>
      </c>
      <c r="D166" s="4" t="s">
        <v>209</v>
      </c>
      <c r="E166" s="50" t="str">
        <f t="shared" si="2"/>
        <v>Hello, my name is Rob Lee from Eclipsewater Technology and Services. I'm reaching out to Naschem Inc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Naschem Inc's water treatment needs. I'd love to schedule a brief call to learn more about your operations and share how we've helped similar Industrial companies achieve their water quality and sustainability goals. Would you have some time this week or next to connect?</v>
      </c>
    </row>
    <row r="167" spans="1:5" ht="126" x14ac:dyDescent="0.25">
      <c r="A167" s="4" t="s">
        <v>128</v>
      </c>
      <c r="B167" s="4" t="s">
        <v>681</v>
      </c>
      <c r="C167" s="4" t="s">
        <v>671</v>
      </c>
      <c r="D167" s="4" t="s">
        <v>588</v>
      </c>
      <c r="E167" s="50" t="str">
        <f t="shared" si="2"/>
        <v>Hello, my name is Rob Lee from Eclipsewater Technology and Services. I'm reaching out to Mohawk Hospital Services Inc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Mohawk Hospital Services Inc's water treatment needs. I'd love to schedule a brief call to learn more about your operations and share how we've helped similar Industrial companies achieve their water quality and sustainability goals. Would you have some time this week or next to connect?</v>
      </c>
    </row>
    <row r="168" spans="1:5" hidden="1" x14ac:dyDescent="0.25">
      <c r="A168" s="4" t="s">
        <v>228</v>
      </c>
      <c r="B168" s="4" t="s">
        <v>683</v>
      </c>
      <c r="C168" s="4" t="s">
        <v>671</v>
      </c>
      <c r="D168" s="4" t="s">
        <v>369</v>
      </c>
      <c r="E168" s="49" t="str">
        <f t="shared" si="2"/>
        <v>Hello, my name is Rob Lee from Eclipsewater Technology and Services. I'm reaching out to Kemira Chemicals because we specialize in providing industrial water treatment solutions for companies in the Commercial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Kemira Chemicals's water treatment needs. I'd love to schedule a brief call to learn more about your operations and share how we've helped similar Commercial companies achieve their water quality and sustainability goals. Would you have some time this week or next to connect?</v>
      </c>
    </row>
    <row r="169" spans="1:5" ht="126" x14ac:dyDescent="0.25">
      <c r="A169" s="4" t="s">
        <v>223</v>
      </c>
      <c r="B169" s="4" t="s">
        <v>681</v>
      </c>
      <c r="C169" s="4" t="s">
        <v>671</v>
      </c>
      <c r="D169" s="4" t="s">
        <v>198</v>
      </c>
      <c r="E169" s="50" t="str">
        <f t="shared" si="2"/>
        <v>Hello, my name is Rob Lee from Eclipsewater Technology and Services. I'm reaching out to Jacklyn Industries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Jacklyn Industries's water treatment needs. I'd love to schedule a brief call to learn more about your operations and share how we've helped similar Industrial companies achieve their water quality and sustainability goals. Would you have some time this week or next to connect?</v>
      </c>
    </row>
    <row r="170" spans="1:5" ht="126" x14ac:dyDescent="0.25">
      <c r="A170" s="29" t="s">
        <v>77</v>
      </c>
      <c r="B170" s="4" t="s">
        <v>681</v>
      </c>
      <c r="C170" s="4" t="s">
        <v>671</v>
      </c>
      <c r="D170" s="29" t="s">
        <v>210</v>
      </c>
      <c r="E170" s="50" t="str">
        <f t="shared" si="2"/>
        <v>Hello, my name is Rob Lee from Eclipsewater Technology and Services. I'm reaching out to Hercules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Hercules's water treatment needs. I'd love to schedule a brief call to learn more about your operations and share how we've helped similar Industrial companies achieve their water quality and sustainability goals. Would you have some time this week or next to connect?</v>
      </c>
    </row>
    <row r="171" spans="1:5" ht="126" x14ac:dyDescent="0.25">
      <c r="A171" s="4" t="s">
        <v>434</v>
      </c>
      <c r="B171" s="4" t="s">
        <v>681</v>
      </c>
      <c r="C171" s="4" t="s">
        <v>671</v>
      </c>
      <c r="D171" s="4" t="s">
        <v>216</v>
      </c>
      <c r="E171" s="50" t="str">
        <f t="shared" si="2"/>
        <v>Hello, my name is Rob Lee from Eclipsewater Technology and Services. I'm reaching out to Hawco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Hawco's water treatment needs. I'd love to schedule a brief call to learn more about your operations and share how we've helped similar Industrial companies achieve their water quality and sustainability goals. Would you have some time this week or next to connect?</v>
      </c>
    </row>
    <row r="172" spans="1:5" ht="126" x14ac:dyDescent="0.25">
      <c r="A172" s="4" t="s">
        <v>431</v>
      </c>
      <c r="B172" s="4" t="s">
        <v>681</v>
      </c>
      <c r="C172" s="4" t="s">
        <v>671</v>
      </c>
      <c r="D172" s="4" t="s">
        <v>590</v>
      </c>
      <c r="E172" s="50" t="str">
        <f t="shared" si="2"/>
        <v>Hello, my name is Rob Lee from Eclipsewater Technology and Services. I'm reaching out to Haltech Inc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Haltech Inc's water treatment needs. I'd love to schedule a brief call to learn more about your operations and share how we've helped similar Industrial companies achieve their water quality and sustainability goals. Would you have some time this week or next to connect?</v>
      </c>
    </row>
    <row r="173" spans="1:5" ht="126" x14ac:dyDescent="0.25">
      <c r="A173" s="4" t="s">
        <v>195</v>
      </c>
      <c r="B173" s="4" t="s">
        <v>681</v>
      </c>
      <c r="C173" s="4" t="s">
        <v>671</v>
      </c>
      <c r="D173" s="30" t="s">
        <v>134</v>
      </c>
      <c r="E173" s="50" t="str">
        <f t="shared" si="2"/>
        <v>Hello, my name is Rob Lee from Eclipsewater Technology and Services. I'm reaching out to H L Blachford Ltd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 L Blachford Ltd's water treatment needs. I'd love to schedule a brief call to learn more about your operations and share how we've helped similar Industrial companies achieve their water quality and sustainability goals. Would you have some time this week or next to connect?</v>
      </c>
    </row>
    <row r="174" spans="1:5" ht="126" x14ac:dyDescent="0.25">
      <c r="A174" s="4" t="s">
        <v>24</v>
      </c>
      <c r="B174" s="4" t="s">
        <v>681</v>
      </c>
      <c r="C174" s="4" t="s">
        <v>671</v>
      </c>
      <c r="D174" s="4" t="s">
        <v>590</v>
      </c>
      <c r="E174" s="50" t="str">
        <f t="shared" si="2"/>
        <v>Hello, my name is Rob Lee from Eclipsewater Technology and Services. I'm reaching out to GK Chemical Specialties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GK Chemical Specialties's water treatment needs. I'd love to schedule a brief call to learn more about your operations and share how we've helped similar Industrial companies achieve their water quality and sustainability goals. Would you have some time this week or next to connect?</v>
      </c>
    </row>
    <row r="175" spans="1:5" ht="126" x14ac:dyDescent="0.25">
      <c r="A175" s="29" t="s">
        <v>7</v>
      </c>
      <c r="B175" s="4" t="s">
        <v>681</v>
      </c>
      <c r="C175" s="4" t="s">
        <v>671</v>
      </c>
      <c r="D175" s="29" t="s">
        <v>588</v>
      </c>
      <c r="E175" s="50" t="str">
        <f t="shared" si="2"/>
        <v>Hello, my name is Rob Lee from Eclipsewater Technology and Services. I'm reaching out to Geomet Technologies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Geomet Technologies's water treatment needs. I'd love to schedule a brief call to learn more about your operations and share how we've helped similar Industrial companies achieve their water quality and sustainability goals. Would you have some time this week or next to connect?</v>
      </c>
    </row>
    <row r="176" spans="1:5" ht="126" x14ac:dyDescent="0.25">
      <c r="A176" s="4" t="s">
        <v>163</v>
      </c>
      <c r="B176" s="4" t="s">
        <v>681</v>
      </c>
      <c r="C176" s="4" t="s">
        <v>671</v>
      </c>
      <c r="D176" s="4" t="s">
        <v>216</v>
      </c>
      <c r="E176" s="50" t="str">
        <f t="shared" si="2"/>
        <v>Hello, my name is Rob Lee from Eclipsewater Technology and Services. I'm reaching out to Easton Coatings Corp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Easton Coatings Corp's water treatment needs. I'd love to schedule a brief call to learn more about your operations and share how we've helped similar Industrial companies achieve their water quality and sustainability goals. Would you have some time this week or next to connect?</v>
      </c>
    </row>
    <row r="177" spans="1:5" ht="126" x14ac:dyDescent="0.25">
      <c r="A177" s="4" t="s">
        <v>161</v>
      </c>
      <c r="B177" s="4" t="s">
        <v>681</v>
      </c>
      <c r="C177" s="4" t="s">
        <v>671</v>
      </c>
      <c r="D177" s="4" t="s">
        <v>513</v>
      </c>
      <c r="E177" s="50" t="str">
        <f t="shared" si="2"/>
        <v>Hello, my name is Rob Lee from Eclipsewater Technology and Services. I'm reaching out to E &amp; E  Technologies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E &amp; E  Technologies's water treatment needs. I'd love to schedule a brief call to learn more about your operations and share how we've helped similar Industrial companies achieve their water quality and sustainability goals. Would you have some time this week or next to connect?</v>
      </c>
    </row>
    <row r="178" spans="1:5" ht="126" x14ac:dyDescent="0.25">
      <c r="A178" s="4" t="s">
        <v>610</v>
      </c>
      <c r="B178" s="4" t="s">
        <v>681</v>
      </c>
      <c r="C178" s="4" t="s">
        <v>671</v>
      </c>
      <c r="D178" s="4" t="s">
        <v>588</v>
      </c>
      <c r="E178" s="50" t="str">
        <f t="shared" si="2"/>
        <v>Hello, my name is Rob Lee from Eclipsewater Technology and Services. I'm reaching out to Dura Chemicals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Dura Chemicals's water treatment needs. I'd love to schedule a brief call to learn more about your operations and share how we've helped similar Industrial companies achieve their water quality and sustainability goals. Would you have some time this week or next to connect?</v>
      </c>
    </row>
    <row r="179" spans="1:5" ht="126" x14ac:dyDescent="0.25">
      <c r="A179" s="4" t="s">
        <v>277</v>
      </c>
      <c r="B179" s="4" t="s">
        <v>681</v>
      </c>
      <c r="C179" s="4" t="s">
        <v>671</v>
      </c>
      <c r="D179" s="4" t="s">
        <v>130</v>
      </c>
      <c r="E179" s="50" t="str">
        <f t="shared" si="2"/>
        <v>Hello, my name is Rob Lee from Eclipsewater Technology and Services. I'm reaching out to Drew Chemical Ltd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Drew Chemical Ltd's water treatment needs. I'd love to schedule a brief call to learn more about your operations and share how we've helped similar Industrial companies achieve their water quality and sustainability goals. Would you have some time this week or next to connect?</v>
      </c>
    </row>
    <row r="180" spans="1:5" ht="126" x14ac:dyDescent="0.25">
      <c r="A180" s="29" t="s">
        <v>537</v>
      </c>
      <c r="B180" s="4" t="s">
        <v>681</v>
      </c>
      <c r="C180" s="36" t="s">
        <v>671</v>
      </c>
      <c r="D180" s="29" t="s">
        <v>590</v>
      </c>
      <c r="E180" s="50" t="str">
        <f t="shared" si="2"/>
        <v>Hello, my name is Rob Lee from Eclipsewater Technology and Services. I'm reaching out to Dextran Products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Dextran Products's water treatment needs. I'd love to schedule a brief call to learn more about your operations and share how we've helped similar Industrial companies achieve their water quality and sustainability goals. Would you have some time this week or next to connect?</v>
      </c>
    </row>
    <row r="181" spans="1:5" ht="126" x14ac:dyDescent="0.25">
      <c r="A181" s="4" t="s">
        <v>365</v>
      </c>
      <c r="B181" s="4" t="s">
        <v>681</v>
      </c>
      <c r="C181" s="4" t="s">
        <v>671</v>
      </c>
      <c r="D181" s="4" t="s">
        <v>366</v>
      </c>
      <c r="E181" s="50" t="str">
        <f t="shared" si="2"/>
        <v>Hello, my name is Rob Lee from Eclipsewater Technology and Services. I'm reaching out to Deb Canada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Deb Canada's water treatment needs. I'd love to schedule a brief call to learn more about your operations and share how we've helped similar Industrial companies achieve their water quality and sustainability goals. Would you have some time this week or next to connect?</v>
      </c>
    </row>
    <row r="182" spans="1:5" ht="126" x14ac:dyDescent="0.25">
      <c r="A182" s="4" t="s">
        <v>426</v>
      </c>
      <c r="B182" s="4" t="s">
        <v>681</v>
      </c>
      <c r="C182" s="4" t="s">
        <v>671</v>
      </c>
      <c r="D182" s="4" t="s">
        <v>209</v>
      </c>
      <c r="E182" s="50" t="str">
        <f t="shared" si="2"/>
        <v>Hello, my name is Rob Lee from Eclipsewater Technology and Services. I'm reaching out to Dante Group Ltd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Dante Group Ltd's water treatment needs. I'd love to schedule a brief call to learn more about your operations and share how we've helped similar Industrial companies achieve their water quality and sustainability goals. Would you have some time this week or next to connect?</v>
      </c>
    </row>
    <row r="183" spans="1:5" ht="126" x14ac:dyDescent="0.25">
      <c r="A183" s="29" t="s">
        <v>3</v>
      </c>
      <c r="B183" s="4" t="s">
        <v>681</v>
      </c>
      <c r="C183" s="4" t="s">
        <v>671</v>
      </c>
      <c r="D183" s="29" t="s">
        <v>588</v>
      </c>
      <c r="E183" s="50" t="str">
        <f t="shared" si="2"/>
        <v>Hello, my name is Rob Lee from Eclipsewater Technology and Services. I'm reaching out to Dalpro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Dalpro's water treatment needs. I'd love to schedule a brief call to learn more about your operations and share how we've helped similar Industrial companies achieve their water quality and sustainability goals. Would you have some time this week or next to connect?</v>
      </c>
    </row>
    <row r="184" spans="1:5" ht="126" x14ac:dyDescent="0.25">
      <c r="A184" s="4" t="s">
        <v>423</v>
      </c>
      <c r="B184" s="4" t="s">
        <v>681</v>
      </c>
      <c r="C184" s="4" t="s">
        <v>671</v>
      </c>
      <c r="D184" s="4" t="s">
        <v>590</v>
      </c>
      <c r="E184" s="50" t="str">
        <f t="shared" si="2"/>
        <v>Hello, my name is Rob Lee from Eclipsewater Technology and Services. I'm reaching out to D A Stuart Inc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D A Stuart Inc's water treatment needs. I'd love to schedule a brief call to learn more about your operations and share how we've helped similar Industrial companies achieve their water quality and sustainability goals. Would you have some time this week or next to connect?</v>
      </c>
    </row>
    <row r="185" spans="1:5" ht="126" x14ac:dyDescent="0.25">
      <c r="A185" s="4" t="s">
        <v>619</v>
      </c>
      <c r="B185" s="4" t="s">
        <v>681</v>
      </c>
      <c r="C185" s="4" t="s">
        <v>671</v>
      </c>
      <c r="D185" s="4" t="s">
        <v>209</v>
      </c>
      <c r="E185" s="50" t="str">
        <f t="shared" si="2"/>
        <v>Hello, my name is Rob Lee from Eclipsewater Technology and Services. I'm reaching out to Crown Chemical Products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Crown Chemical Products's water treatment needs. I'd love to schedule a brief call to learn more about your operations and share how we've helped similar Industrial companies achieve their water quality and sustainability goals. Would you have some time this week or next to connect?</v>
      </c>
    </row>
    <row r="186" spans="1:5" ht="126" x14ac:dyDescent="0.25">
      <c r="A186" s="4" t="s">
        <v>494</v>
      </c>
      <c r="B186" s="4" t="s">
        <v>681</v>
      </c>
      <c r="C186" s="4" t="s">
        <v>671</v>
      </c>
      <c r="D186" s="4" t="s">
        <v>595</v>
      </c>
      <c r="E186" s="50" t="str">
        <f t="shared" si="2"/>
        <v>Hello, my name is Rob Lee from Eclipsewater Technology and Services. I'm reaching out to Canadian Linen And Uniform Service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Canadian Linen And Uniform Service's water treatment needs. I'd love to schedule a brief call to learn more about your operations and share how we've helped similar Industrial companies achieve their water quality and sustainability goals. Would you have some time this week or next to connect?</v>
      </c>
    </row>
    <row r="187" spans="1:5" ht="126" x14ac:dyDescent="0.25">
      <c r="A187" s="29" t="s">
        <v>254</v>
      </c>
      <c r="B187" s="4" t="s">
        <v>681</v>
      </c>
      <c r="C187" s="4" t="s">
        <v>671</v>
      </c>
      <c r="D187" s="29" t="s">
        <v>588</v>
      </c>
      <c r="E187" s="50" t="str">
        <f t="shared" si="2"/>
        <v>Hello, my name is Rob Lee from Eclipsewater Technology and Services. I'm reaching out to Canadian Linen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Canadian Linen's water treatment needs. I'd love to schedule a brief call to learn more about your operations and share how we've helped similar Industrial companies achieve their water quality and sustainability goals. Would you have some time this week or next to connect?</v>
      </c>
    </row>
    <row r="188" spans="1:5" hidden="1" x14ac:dyDescent="0.25">
      <c r="A188" s="4" t="s">
        <v>266</v>
      </c>
      <c r="B188" s="4" t="s">
        <v>683</v>
      </c>
      <c r="C188" s="4" t="s">
        <v>671</v>
      </c>
      <c r="D188" s="4" t="s">
        <v>9</v>
      </c>
      <c r="E188" s="49" t="str">
        <f t="shared" si="2"/>
        <v>Hello, my name is Rob Lee from Eclipsewater Technology and Services. I'm reaching out to Brenntag c/o Tiru because we specialize in providing industrial water treatment solutions for companies in the Commercial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Brenntag c/o Tiru's water treatment needs. I'd love to schedule a brief call to learn more about your operations and share how we've helped similar Commercial companies achieve their water quality and sustainability goals. Would you have some time this week or next to connect?</v>
      </c>
    </row>
    <row r="189" spans="1:5" ht="126" x14ac:dyDescent="0.25">
      <c r="A189" s="4" t="s">
        <v>30</v>
      </c>
      <c r="B189" s="4" t="s">
        <v>681</v>
      </c>
      <c r="C189" s="4" t="s">
        <v>671</v>
      </c>
      <c r="D189" s="4" t="s">
        <v>209</v>
      </c>
      <c r="E189" s="50" t="str">
        <f t="shared" si="2"/>
        <v>Hello, my name is Rob Lee from Eclipsewater Technology and Services. I'm reaching out to Booth Centenial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Booth Centenial's water treatment needs. I'd love to schedule a brief call to learn more about your operations and share how we've helped similar Industrial companies achieve their water quality and sustainability goals. Would you have some time this week or next to connect?</v>
      </c>
    </row>
    <row r="190" spans="1:5" ht="126" x14ac:dyDescent="0.25">
      <c r="A190" s="29" t="s">
        <v>154</v>
      </c>
      <c r="B190" s="4" t="s">
        <v>681</v>
      </c>
      <c r="C190" s="4" t="s">
        <v>671</v>
      </c>
      <c r="D190" s="29" t="s">
        <v>209</v>
      </c>
      <c r="E190" s="50" t="str">
        <f t="shared" si="2"/>
        <v>Hello, my name is Rob Lee from Eclipsewater Technology and Services. I'm reaching out to Bob Chambers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Bob Chambers's water treatment needs. I'd love to schedule a brief call to learn more about your operations and share how we've helped similar Industrial companies achieve their water quality and sustainability goals. Would you have some time this week or next to connect?</v>
      </c>
    </row>
    <row r="191" spans="1:5" ht="126" x14ac:dyDescent="0.25">
      <c r="A191" s="4" t="s">
        <v>32</v>
      </c>
      <c r="B191" s="4" t="s">
        <v>681</v>
      </c>
      <c r="C191" s="4" t="s">
        <v>671</v>
      </c>
      <c r="D191" s="4" t="s">
        <v>209</v>
      </c>
      <c r="E191" s="50" t="str">
        <f t="shared" si="2"/>
        <v>Hello, my name is Rob Lee from Eclipsewater Technology and Services. I'm reaching out to Alphachem because we specialize in providing industrial water treatment solutions for companies in the Industrial sector, particularly those in the Chemical/Services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Alphachem's water treatment needs. I'd love to schedule a brief call to learn more about your operations and share how we've helped similar Industrial companies achieve their water quality and sustainability goals. Would you have some time this week or next to connect?</v>
      </c>
    </row>
    <row r="192" spans="1:5" hidden="1" x14ac:dyDescent="0.25">
      <c r="A192" s="4" t="s">
        <v>662</v>
      </c>
      <c r="B192" s="4" t="s">
        <v>682</v>
      </c>
      <c r="C192" s="4" t="s">
        <v>666</v>
      </c>
      <c r="D192" s="4" t="s">
        <v>513</v>
      </c>
      <c r="E192" s="49" t="str">
        <f t="shared" si="2"/>
        <v>Hello, my name is Rob Lee from Eclipsewater Technology and Services. I'm reaching out to Chemfil Canada Ltd because we specialize in providing industrial water treatment solutions for companies in the Automotive sector, particularly those in the Chemical Services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Canada Ltd's water treatment needs. I'd love to schedule a brief call to learn more about your operations and share how we've helped similar Automotive companies achieve their water quality and sustainability goals. Would you have some time this week or next to connect?</v>
      </c>
    </row>
    <row r="193" spans="1:5" ht="126" x14ac:dyDescent="0.25">
      <c r="A193" s="4" t="s">
        <v>74</v>
      </c>
      <c r="B193" s="4" t="s">
        <v>681</v>
      </c>
      <c r="C193" s="4" t="s">
        <v>670</v>
      </c>
      <c r="D193" s="4" t="s">
        <v>120</v>
      </c>
      <c r="E193" s="50" t="str">
        <f t="shared" ref="E193:E256" si="3">IF(A193="","","Hello, my name is Rob Lee from Eclipsewater Technology and Services. I'm reaching out to "&amp;A193&amp;" because we specialize in providing industrial water treatment solutions for companies in the "&amp;B193&amp;" sector"&amp;IF(C193&lt;&gt;"", ", particularly those in the "&amp;C193&amp;"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")&amp;A193&amp;"'s water treatment needs. I'd love to schedule a brief call to learn more about your operations and share how we've helped similar "&amp;B193&amp;" companies achieve their water quality and sustainability goals. Would you have some time this week or next to connect?")</f>
        <v>Hello, my name is Rob Lee from Eclipsewater Technology and Services. I'm reaching out to Strathcona Paper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Strathcona Paper's water treatment needs. I'd love to schedule a brief call to learn more about your operations and share how we've helped similar Industrial companies achieve their water quality and sustainability goals. Would you have some time this week or next to connect?</v>
      </c>
    </row>
    <row r="194" spans="1:5" ht="126" x14ac:dyDescent="0.25">
      <c r="A194" s="4" t="s">
        <v>472</v>
      </c>
      <c r="B194" s="4" t="s">
        <v>681</v>
      </c>
      <c r="C194" s="4" t="s">
        <v>670</v>
      </c>
      <c r="D194" s="4" t="s">
        <v>612</v>
      </c>
      <c r="E194" s="50" t="str">
        <f t="shared" si="3"/>
        <v>Hello, my name is Rob Lee from Eclipsewater Technology and Services. I'm reaching out to Smurfit-MBI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Smurfit-MBI's water treatment needs. I'd love to schedule a brief call to learn more about your operations and share how we've helped similar Industrial companies achieve their water quality and sustainability goals. Would you have some time this week or next to connect?</v>
      </c>
    </row>
    <row r="195" spans="1:5" ht="126" x14ac:dyDescent="0.25">
      <c r="A195" s="4" t="s">
        <v>570</v>
      </c>
      <c r="B195" s="4" t="s">
        <v>681</v>
      </c>
      <c r="C195" s="4" t="s">
        <v>670</v>
      </c>
      <c r="D195" s="4" t="s">
        <v>361</v>
      </c>
      <c r="E195" s="50" t="str">
        <f t="shared" si="3"/>
        <v>Hello, my name is Rob Lee from Eclipsewater Technology and Services. I'm reaching out to Norampac Inc (SPB Belleville)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Norampac Inc (SPB Belleville)'s water treatment needs. I'd love to schedule a brief call to learn more about your operations and share how we've helped similar Industrial companies achieve their water quality and sustainability goals. Would you have some time this week or next to connect?</v>
      </c>
    </row>
    <row r="196" spans="1:5" ht="126" x14ac:dyDescent="0.25">
      <c r="A196" s="4" t="s">
        <v>118</v>
      </c>
      <c r="B196" s="4" t="s">
        <v>681</v>
      </c>
      <c r="C196" s="4" t="s">
        <v>670</v>
      </c>
      <c r="D196" s="4" t="s">
        <v>209</v>
      </c>
      <c r="E196" s="50" t="str">
        <f t="shared" si="3"/>
        <v>Hello, my name is Rob Lee from Eclipsewater Technology and Services. I'm reaching out to Norampac Inc (Bramalea Plt)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Norampac Inc (Bramalea Plt)'s water treatment needs. I'd love to schedule a brief call to learn more about your operations and share how we've helped similar Industrial companies achieve their water quality and sustainability goals. Would you have some time this week or next to connect?</v>
      </c>
    </row>
    <row r="197" spans="1:5" ht="126" x14ac:dyDescent="0.25">
      <c r="A197" s="4" t="s">
        <v>236</v>
      </c>
      <c r="B197" s="4" t="s">
        <v>681</v>
      </c>
      <c r="C197" s="4" t="s">
        <v>670</v>
      </c>
      <c r="D197" s="4" t="s">
        <v>530</v>
      </c>
      <c r="E197" s="50" t="str">
        <f t="shared" si="3"/>
        <v>Hello, my name is Rob Lee from Eclipsewater Technology and Services. I'm reaching out to Norampac Inc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Norampac Inc's water treatment needs. I'd love to schedule a brief call to learn more about your operations and share how we've helped similar Industrial companies achieve their water quality and sustainability goals. Would you have some time this week or next to connect?</v>
      </c>
    </row>
    <row r="198" spans="1:5" ht="126" x14ac:dyDescent="0.25">
      <c r="A198" s="4" t="s">
        <v>219</v>
      </c>
      <c r="B198" s="4" t="s">
        <v>681</v>
      </c>
      <c r="C198" s="4" t="s">
        <v>670</v>
      </c>
      <c r="D198" s="4" t="s">
        <v>209</v>
      </c>
      <c r="E198" s="50" t="str">
        <f t="shared" si="3"/>
        <v>Hello, my name is Rob Lee from Eclipsewater Technology and Services. I'm reaching out to Independent Corrugator Inc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Independent Corrugator Inc's water treatment needs. I'd love to schedule a brief call to learn more about your operations and share how we've helped similar Industrial companies achieve their water quality and sustainability goals. Would you have some time this week or next to connect?</v>
      </c>
    </row>
    <row r="199" spans="1:5" ht="126" x14ac:dyDescent="0.25">
      <c r="A199" s="4" t="s">
        <v>433</v>
      </c>
      <c r="B199" s="4" t="s">
        <v>681</v>
      </c>
      <c r="C199" s="4" t="s">
        <v>670</v>
      </c>
      <c r="D199" s="4" t="s">
        <v>216</v>
      </c>
      <c r="E199" s="50" t="str">
        <f t="shared" si="3"/>
        <v>Hello, my name is Rob Lee from Eclipsewater Technology and Services. I'm reaching out to Hartmann Canada Inc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Hartmann Canada Inc's water treatment needs. I'd love to schedule a brief call to learn more about your operations and share how we've helped similar Industrial companies achieve their water quality and sustainability goals. Would you have some time this week or next to connect?</v>
      </c>
    </row>
    <row r="200" spans="1:5" ht="113.4" x14ac:dyDescent="0.25">
      <c r="A200" s="4" t="s">
        <v>22</v>
      </c>
      <c r="B200" s="4" t="s">
        <v>681</v>
      </c>
      <c r="C200" s="4" t="s">
        <v>670</v>
      </c>
      <c r="D200" s="4" t="s">
        <v>209</v>
      </c>
      <c r="E200" s="50" t="str">
        <f t="shared" si="3"/>
        <v>Hello, my name is Rob Lee from Eclipsewater Technology and Services. I'm reaching out to Genpak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Genpak's water treatment needs. I'd love to schedule a brief call to learn more about your operations and share how we've helped similar Industrial companies achieve their water quality and sustainability goals. Would you have some time this week or next to connect?</v>
      </c>
    </row>
    <row r="201" spans="1:5" ht="126" x14ac:dyDescent="0.25">
      <c r="A201" s="4" t="s">
        <v>147</v>
      </c>
      <c r="B201" s="4" t="s">
        <v>681</v>
      </c>
      <c r="C201" s="4" t="s">
        <v>670</v>
      </c>
      <c r="D201" s="4" t="s">
        <v>595</v>
      </c>
      <c r="E201" s="50" t="str">
        <f t="shared" si="3"/>
        <v>Hello, my name is Rob Lee from Eclipsewater Technology and Services. I'm reaching out to Cascades Boxboard Inc.  Toronto Mill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Cascades Boxboard Inc.  Toronto Mill's water treatment needs. I'd love to schedule a brief call to learn more about your operations and share how we've helped similar Industrial companies achieve their water quality and sustainability goals. Would you have some time this week or next to connect?</v>
      </c>
    </row>
    <row r="202" spans="1:5" ht="126" x14ac:dyDescent="0.25">
      <c r="A202" s="4" t="s">
        <v>376</v>
      </c>
      <c r="B202" s="4" t="s">
        <v>681</v>
      </c>
      <c r="C202" s="4" t="s">
        <v>670</v>
      </c>
      <c r="D202" s="4" t="s">
        <v>209</v>
      </c>
      <c r="E202" s="50" t="str">
        <f t="shared" si="3"/>
        <v>Hello, my name is Rob Lee from Eclipsewater Technology and Services. I'm reaching out to Basic Packaging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Basic Packaging's water treatment needs. I'd love to schedule a brief call to learn more about your operations and share how we've helped similar Industrial companies achieve their water quality and sustainability goals. Would you have some time this week or next to connect?</v>
      </c>
    </row>
    <row r="203" spans="1:5" ht="126" x14ac:dyDescent="0.25">
      <c r="A203" s="4" t="s">
        <v>375</v>
      </c>
      <c r="B203" s="4" t="s">
        <v>681</v>
      </c>
      <c r="C203" s="4" t="s">
        <v>670</v>
      </c>
      <c r="D203" s="4" t="s">
        <v>612</v>
      </c>
      <c r="E203" s="50" t="str">
        <f t="shared" si="3"/>
        <v>Hello, my name is Rob Lee from Eclipsewater Technology and Services. I'm reaching out to Ball Packaging Products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Ball Packaging Products's water treatment needs. I'd love to schedule a brief call to learn more about your operations and share how we've helped similar Industrial companies achieve their water quality and sustainability goals. Would you have some time this week or next to connect?</v>
      </c>
    </row>
    <row r="204" spans="1:5" ht="126" x14ac:dyDescent="0.25">
      <c r="A204" s="4" t="s">
        <v>371</v>
      </c>
      <c r="B204" s="4" t="s">
        <v>681</v>
      </c>
      <c r="C204" s="4" t="s">
        <v>670</v>
      </c>
      <c r="D204" s="4" t="s">
        <v>612</v>
      </c>
      <c r="E204" s="50" t="str">
        <f t="shared" si="3"/>
        <v>Hello, my name is Rob Lee from Eclipsewater Technology and Services. I'm reaching out to Atlantic Packaging because we specialize in providing industrial water treatment solutions for companies in the Industrial sector, particularly those in the Boxes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Atlantic Packaging's water treatment needs. I'd love to schedule a brief call to learn more about your operations and share how we've helped similar Industrial companies achieve their water quality and sustainability goals. Would you have some time this week or next to connect?</v>
      </c>
    </row>
    <row r="205" spans="1:5" ht="126" x14ac:dyDescent="0.25">
      <c r="A205" s="4" t="s">
        <v>152</v>
      </c>
      <c r="B205" s="4" t="s">
        <v>681</v>
      </c>
      <c r="C205" s="4" t="s">
        <v>680</v>
      </c>
      <c r="D205" s="4" t="s">
        <v>209</v>
      </c>
      <c r="E205" s="50" t="str">
        <f t="shared" si="3"/>
        <v>Hello, my name is Rob Lee from Eclipsewater Technology and Services. I'm reaching out to Tonolli Company Of Canada Ltd because we specialize in providing industrial water treatment solutions for companies in the Industrial sector, particularly those in the Battery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Tonolli Company Of Canada Ltd's water treatment needs. I'd love to schedule a brief call to learn more about your operations and share how we've helped similar Industrial companies achieve their water quality and sustainability goals. Would you have some time this week or next to connect?</v>
      </c>
    </row>
    <row r="206" spans="1:5" ht="126" x14ac:dyDescent="0.25">
      <c r="A206" s="4" t="s">
        <v>435</v>
      </c>
      <c r="B206" s="4" t="s">
        <v>681</v>
      </c>
      <c r="C206" s="4" t="s">
        <v>680</v>
      </c>
      <c r="D206" s="4" t="s">
        <v>209</v>
      </c>
      <c r="E206" s="50" t="str">
        <f t="shared" si="3"/>
        <v>Hello, my name is Rob Lee from Eclipsewater Technology and Services. I'm reaching out to Hercules Battery Services Ltd because we specialize in providing industrial water treatment solutions for companies in the Industrial sector, particularly those in the Battery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Hercules Battery Services Ltd's water treatment needs. I'd love to schedule a brief call to learn more about your operations and share how we've helped similar Industrial companies achieve their water quality and sustainability goals. Would you have some time this week or next to connect?</v>
      </c>
    </row>
    <row r="207" spans="1:5" hidden="1" x14ac:dyDescent="0.25">
      <c r="A207" s="4" t="s">
        <v>111</v>
      </c>
      <c r="B207" s="4" t="s">
        <v>665</v>
      </c>
      <c r="C207" s="4" t="s">
        <v>665</v>
      </c>
      <c r="D207" s="4" t="s">
        <v>623</v>
      </c>
      <c r="E207" s="49" t="str">
        <f t="shared" si="3"/>
        <v>Hello, my name is Rob Lee from Eclipsewater Technology and Services. I'm reaching out to Sun Parlour Greenhouse Growers Co-op because we specialize in providing industrial water treatment solutions for companies in the Agriculture sector, particularly those in the Agriculture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Sun Parlour Greenhouse Growers Co-op's water treatment needs. I'd love to schedule a brief call to learn more about your operations and share how we've helped similar Agriculture companies achieve their water quality and sustainability goals. Would you have some time this week or next to connect?</v>
      </c>
    </row>
    <row r="208" spans="1:5" ht="126" x14ac:dyDescent="0.25">
      <c r="A208" s="4" t="s">
        <v>414</v>
      </c>
      <c r="B208" s="4" t="s">
        <v>681</v>
      </c>
      <c r="C208" s="4" t="s">
        <v>665</v>
      </c>
      <c r="D208" s="4" t="s">
        <v>534</v>
      </c>
      <c r="E208" s="50" t="str">
        <f t="shared" si="3"/>
        <v>Hello, my name is Rob Lee from Eclipsewater Technology and Services. I'm reaching out to Rosa Flora Ltd because we specialize in providing industrial water treatment solutions for companies in the Industrial sector, particularly those in the Agriculture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Rosa Flora Ltd's water treatment needs. I'd love to schedule a brief call to learn more about your operations and share how we've helped similar Industrial companies achieve their water quality and sustainability goals. Would you have some time this week or next to connect?</v>
      </c>
    </row>
    <row r="209" spans="1:5" ht="126" x14ac:dyDescent="0.25">
      <c r="A209" s="29" t="s">
        <v>541</v>
      </c>
      <c r="B209" s="4" t="s">
        <v>681</v>
      </c>
      <c r="C209" s="36" t="s">
        <v>665</v>
      </c>
      <c r="D209" s="29" t="s">
        <v>216</v>
      </c>
      <c r="E209" s="50" t="str">
        <f t="shared" si="3"/>
        <v>Hello, my name is Rob Lee from Eclipsewater Technology and Services. I'm reaching out to Nu-Gro because we specialize in providing industrial water treatment solutions for companies in the Industrial sector, particularly those in the Agriculture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Nu-Gro's water treatment needs. I'd love to schedule a brief call to learn more about your operations and share how we've helped similar Industrial companies achieve their water quality and sustainability goals. Would you have some time this week or next to connect?</v>
      </c>
    </row>
    <row r="210" spans="1:5" ht="126" x14ac:dyDescent="0.25">
      <c r="A210" s="29" t="s">
        <v>540</v>
      </c>
      <c r="B210" s="4" t="s">
        <v>681</v>
      </c>
      <c r="C210" s="36" t="s">
        <v>665</v>
      </c>
      <c r="D210" s="29" t="s">
        <v>43</v>
      </c>
      <c r="E210" s="50" t="str">
        <f t="shared" si="3"/>
        <v>Hello, my name is Rob Lee from Eclipsewater Technology and Services. I'm reaching out to Commercial Alcohols because we specialize in providing industrial water treatment solutions for companies in the Industrial sector, particularly those in the Agriculture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Commercial Alcohols's water treatment needs. I'd love to schedule a brief call to learn more about your operations and share how we've helped similar Industrial companies achieve their water quality and sustainability goals. Would you have some time this week or next to connect?</v>
      </c>
    </row>
    <row r="211" spans="1:5" ht="126" x14ac:dyDescent="0.25">
      <c r="A211" s="4" t="s">
        <v>379</v>
      </c>
      <c r="B211" s="4" t="s">
        <v>681</v>
      </c>
      <c r="C211" s="4" t="s">
        <v>665</v>
      </c>
      <c r="D211" s="4" t="s">
        <v>513</v>
      </c>
      <c r="E211" s="50" t="str">
        <f t="shared" si="3"/>
        <v>Hello, my name is Rob Lee from Eclipsewater Technology and Services. I'm reaching out to ADM Agri-Industries  because we specialize in providing industrial water treatment solutions for companies in the Industrial sector, particularly those in the Agriculture industry. Whether you're looking to optimize your current water treatment processes, planning for future facility upgrades, or simply exploring options for an additional supplier to ensure supply chain resilience, we would welcome the opportunity to discuss how Eclipsewater can support ADM Agri-Industries 's water treatment needs. I'd love to schedule a brief call to learn more about your operations and share how we've helped similar Industrial companies achieve their water quality and sustainability goals. Would you have some time this week or next to connect?</v>
      </c>
    </row>
    <row r="212" spans="1:5" hidden="1" x14ac:dyDescent="0.25">
      <c r="A212" s="4" t="s">
        <v>168</v>
      </c>
      <c r="B212" s="4" t="s">
        <v>685</v>
      </c>
      <c r="C212" s="4"/>
      <c r="D212" s="4" t="s">
        <v>597</v>
      </c>
      <c r="E212" s="49" t="str">
        <f t="shared" si="3"/>
        <v>Hello, my name is Rob Lee from Eclipsewater Technology and Services. I'm reaching out to Wellmaster Pipe &amp; Supply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Wellmaster Pipe &amp; Supply  Inc's water treatment needs. I'd love to schedule a brief call to learn more about your operations and share how we've helped similar Retail companies achieve their water quality and sustainability goals. Would you have some time this week or next to connect?</v>
      </c>
    </row>
    <row r="213" spans="1:5" hidden="1" x14ac:dyDescent="0.25">
      <c r="A213" s="4" t="s">
        <v>53</v>
      </c>
      <c r="B213" s="4" t="s">
        <v>685</v>
      </c>
      <c r="C213" s="4"/>
      <c r="D213" s="4" t="s">
        <v>626</v>
      </c>
      <c r="E213" s="49" t="str">
        <f t="shared" si="3"/>
        <v>Hello, my name is Rob Lee from Eclipsewater Technology and Services. I'm reaching out to Wellandport Hardware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Wellandport Hardware Ltd's water treatment needs. I'd love to schedule a brief call to learn more about your operations and share how we've helped similar Retail companies achieve their water quality and sustainability goals. Would you have some time this week or next to connect?</v>
      </c>
    </row>
    <row r="214" spans="1:5" hidden="1" x14ac:dyDescent="0.25">
      <c r="A214" s="4" t="s">
        <v>52</v>
      </c>
      <c r="B214" s="4" t="s">
        <v>685</v>
      </c>
      <c r="C214" s="4"/>
      <c r="D214" s="4" t="s">
        <v>199</v>
      </c>
      <c r="E214" s="49" t="str">
        <f t="shared" si="3"/>
        <v>Hello, my name is Rob Lee from Eclipsewater Technology and Services. I'm reaching out to Waterbee Pools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Waterbee Pools Ltd's water treatment needs. I'd love to schedule a brief call to learn more about your operations and share how we've helped similar Retail companies achieve their water quality and sustainability goals. Would you have some time this week or next to connect?</v>
      </c>
    </row>
    <row r="215" spans="1:5" hidden="1" x14ac:dyDescent="0.25">
      <c r="A215" s="4" t="s">
        <v>51</v>
      </c>
      <c r="B215" s="4" t="s">
        <v>685</v>
      </c>
      <c r="C215" s="4"/>
      <c r="D215" s="4" t="s">
        <v>563</v>
      </c>
      <c r="E215" s="49" t="str">
        <f t="shared" si="3"/>
        <v>Hello, my name is Rob Lee from Eclipsewater Technology and Services. I'm reaching out to Water World Pool &amp; Spa Centre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Water World Pool &amp; Spa Centre's water treatment needs. I'd love to schedule a brief call to learn more about your operations and share how we've helped similar Retail companies achieve their water quality and sustainability goals. Would you have some time this week or next to connect?</v>
      </c>
    </row>
    <row r="216" spans="1:5" hidden="1" x14ac:dyDescent="0.25">
      <c r="A216" s="4" t="s">
        <v>49</v>
      </c>
      <c r="B216" s="4" t="s">
        <v>685</v>
      </c>
      <c r="C216" s="4"/>
      <c r="D216" s="4" t="s">
        <v>50</v>
      </c>
      <c r="E216" s="49" t="str">
        <f t="shared" si="3"/>
        <v>Hello, my name is Rob Lee from Eclipsewater Technology and Services. I'm reaching out to Victor Pool &amp; Spa Supply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Victor Pool &amp; Spa Supply's water treatment needs. I'd love to schedule a brief call to learn more about your operations and share how we've helped similar Retail companies achieve their water quality and sustainability goals. Would you have some time this week or next to connect?</v>
      </c>
    </row>
    <row r="217" spans="1:5" hidden="1" x14ac:dyDescent="0.25">
      <c r="A217" s="4" t="s">
        <v>48</v>
      </c>
      <c r="B217" s="4" t="s">
        <v>685</v>
      </c>
      <c r="C217" s="4"/>
      <c r="D217" s="4" t="s">
        <v>612</v>
      </c>
      <c r="E217" s="49" t="str">
        <f t="shared" si="3"/>
        <v>Hello, my name is Rob Lee from Eclipsewater Technology and Services. I'm reaching out to Vacuum Man (The)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Vacuum Man (The)'s water treatment needs. I'd love to schedule a brief call to learn more about your operations and share how we've helped similar Retail companies achieve their water quality and sustainability goals. Would you have some time this week or next to connect?</v>
      </c>
    </row>
    <row r="218" spans="1:5" hidden="1" x14ac:dyDescent="0.25">
      <c r="A218" s="4" t="s">
        <v>571</v>
      </c>
      <c r="B218" s="4" t="s">
        <v>684</v>
      </c>
      <c r="C218" s="4"/>
      <c r="D218" s="4" t="s">
        <v>561</v>
      </c>
      <c r="E218" s="49" t="str">
        <f t="shared" si="3"/>
        <v>Hello, my name is Rob Lee from Eclipsewater Technology and Services. I'm reaching out to Utilities Kingston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Utilities Kingston's water treatment needs. I'd love to schedule a brief call to learn more about your operations and share how we've helped similar Municipal companies achieve their water quality and sustainability goals. Would you have some time this week or next to connect?</v>
      </c>
    </row>
    <row r="219" spans="1:5" hidden="1" x14ac:dyDescent="0.25">
      <c r="A219" s="4" t="s">
        <v>47</v>
      </c>
      <c r="B219" s="4" t="s">
        <v>685</v>
      </c>
      <c r="C219" s="4"/>
      <c r="D219" s="4" t="s">
        <v>553</v>
      </c>
      <c r="E219" s="49" t="str">
        <f t="shared" si="3"/>
        <v>Hello, my name is Rob Lee from Eclipsewater Technology and Services. I'm reaching out to Ultimate Pool Service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Ultimate Pool Service's water treatment needs. I'd love to schedule a brief call to learn more about your operations and share how we've helped similar Retail companies achieve their water quality and sustainability goals. Would you have some time this week or next to connect?</v>
      </c>
    </row>
    <row r="220" spans="1:5" hidden="1" x14ac:dyDescent="0.25">
      <c r="A220" s="4" t="s">
        <v>36</v>
      </c>
      <c r="B220" s="4" t="s">
        <v>685</v>
      </c>
      <c r="C220" s="4"/>
      <c r="D220" s="4" t="s">
        <v>230</v>
      </c>
      <c r="E220" s="49" t="str">
        <f t="shared" si="3"/>
        <v>Hello, my name is Rob Lee from Eclipsewater Technology and Services. I'm reaching out to Trent Pool &amp; Spa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Trent Pool &amp; Spa's water treatment needs. I'd love to schedule a brief call to learn more about your operations and share how we've helped similar Retail companies achieve their water quality and sustainability goals. Would you have some time this week or next to connect?</v>
      </c>
    </row>
    <row r="221" spans="1:5" hidden="1" x14ac:dyDescent="0.25">
      <c r="A221" s="4" t="s">
        <v>34</v>
      </c>
      <c r="B221" s="4" t="s">
        <v>685</v>
      </c>
      <c r="C221" s="4"/>
      <c r="D221" s="4" t="s">
        <v>62</v>
      </c>
      <c r="E221" s="49" t="str">
        <f t="shared" si="3"/>
        <v>Hello, my name is Rob Lee from Eclipsewater Technology and Services. I'm reaching out to Tottle Pools (2002)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Tottle Pools (2002) Inc's water treatment needs. I'd love to schedule a brief call to learn more about your operations and share how we've helped similar Retail companies achieve their water quality and sustainability goals. Would you have some time this week or next to connect?</v>
      </c>
    </row>
    <row r="222" spans="1:5" hidden="1" x14ac:dyDescent="0.25">
      <c r="A222" s="4" t="s">
        <v>208</v>
      </c>
      <c r="B222" s="4" t="s">
        <v>682</v>
      </c>
      <c r="C222" s="4"/>
      <c r="D222" s="4" t="s">
        <v>270</v>
      </c>
      <c r="E222" s="49" t="str">
        <f t="shared" si="3"/>
        <v>Hello, my name is Rob Lee from Eclipsewater Technology and Services. I'm reaching out to Tiercon Industries Inc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Tiercon Industries Inc's water treatment needs. I'd love to schedule a brief call to learn more about your operations and share how we've helped similar Automotive companies achieve their water quality and sustainability goals. Would you have some time this week or next to connect?</v>
      </c>
    </row>
    <row r="223" spans="1:5" hidden="1" x14ac:dyDescent="0.25">
      <c r="A223" s="4" t="s">
        <v>377</v>
      </c>
      <c r="B223" s="4" t="s">
        <v>685</v>
      </c>
      <c r="C223" s="4"/>
      <c r="D223" s="4" t="s">
        <v>361</v>
      </c>
      <c r="E223" s="49" t="str">
        <f t="shared" si="3"/>
        <v>Hello, my name is Rob Lee from Eclipsewater Technology and Services. I'm reaching out to Thrashers Garden Center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Thrashers Garden Center's water treatment needs. I'd love to schedule a brief call to learn more about your operations and share how we've helped similar Retail companies achieve their water quality and sustainability goals. Would you have some time this week or next to connect?</v>
      </c>
    </row>
    <row r="224" spans="1:5" hidden="1" x14ac:dyDescent="0.25">
      <c r="A224" s="4" t="s">
        <v>400</v>
      </c>
      <c r="B224" s="4" t="s">
        <v>685</v>
      </c>
      <c r="C224" s="4"/>
      <c r="D224" s="4" t="s">
        <v>252</v>
      </c>
      <c r="E224" s="49" t="str">
        <f t="shared" si="3"/>
        <v>Hello, my name is Rob Lee from Eclipsewater Technology and Services. I'm reaching out to Surfside Dream Builders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Surfside Dream Builders's water treatment needs. I'd love to schedule a brief call to learn more about your operations and share how we've helped similar Retail companies achieve their water quality and sustainability goals. Would you have some time this week or next to connect?</v>
      </c>
    </row>
    <row r="225" spans="1:5" hidden="1" x14ac:dyDescent="0.25">
      <c r="A225" s="4" t="s">
        <v>399</v>
      </c>
      <c r="B225" s="4" t="s">
        <v>685</v>
      </c>
      <c r="C225" s="4"/>
      <c r="D225" s="4" t="s">
        <v>595</v>
      </c>
      <c r="E225" s="49" t="str">
        <f t="shared" si="3"/>
        <v>Hello, my name is Rob Lee from Eclipsewater Technology and Services. I'm reaching out to Superior Pool Spa &amp; Leisure (Weston Lions)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Superior Pool Spa &amp; Leisure (Weston Lions)'s water treatment needs. I'd love to schedule a brief call to learn more about your operations and share how we've helped similar Retail companies achieve their water quality and sustainability goals. Would you have some time this week or next to connect?</v>
      </c>
    </row>
    <row r="226" spans="1:5" hidden="1" x14ac:dyDescent="0.25">
      <c r="A226" s="4" t="s">
        <v>398</v>
      </c>
      <c r="B226" s="4" t="s">
        <v>685</v>
      </c>
      <c r="C226" s="4"/>
      <c r="D226" s="4" t="s">
        <v>595</v>
      </c>
      <c r="E226" s="49" t="str">
        <f t="shared" si="3"/>
        <v>Hello, my name is Rob Lee from Eclipsewater Technology and Services. I'm reaching out to Superior Pool Spa &amp; Leisure (Sunnyside Park)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Superior Pool Spa &amp; Leisure (Sunnyside Park)'s water treatment needs. I'd love to schedule a brief call to learn more about your operations and share how we've helped similar Retail companies achieve their water quality and sustainability goals. Would you have some time this week or next to connect?</v>
      </c>
    </row>
    <row r="227" spans="1:5" hidden="1" x14ac:dyDescent="0.25">
      <c r="A227" s="4" t="s">
        <v>397</v>
      </c>
      <c r="B227" s="4" t="s">
        <v>685</v>
      </c>
      <c r="C227" s="4"/>
      <c r="D227" s="4" t="s">
        <v>595</v>
      </c>
      <c r="E227" s="49" t="str">
        <f t="shared" si="3"/>
        <v>Hello, my name is Rob Lee from Eclipsewater Technology and Services. I'm reaching out to Superior Pool Spa &amp; Leisure (Summerville Pool)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Superior Pool Spa &amp; Leisure (Summerville Pool)'s water treatment needs. I'd love to schedule a brief call to learn more about your operations and share how we've helped similar Retail companies achieve their water quality and sustainability goals. Would you have some time this week or next to connect?</v>
      </c>
    </row>
    <row r="228" spans="1:5" hidden="1" x14ac:dyDescent="0.25">
      <c r="A228" s="4" t="s">
        <v>396</v>
      </c>
      <c r="B228" s="4" t="s">
        <v>685</v>
      </c>
      <c r="C228" s="4"/>
      <c r="D228" s="4" t="s">
        <v>595</v>
      </c>
      <c r="E228" s="49" t="str">
        <f t="shared" si="3"/>
        <v>Hello, my name is Rob Lee from Eclipsewater Technology and Services. I'm reaching out to Superior Pool Spa &amp; Leisure (Monarch Pool)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Superior Pool Spa &amp; Leisure (Monarch Pool)'s water treatment needs. I'd love to schedule a brief call to learn more about your operations and share how we've helped similar Retail companies achieve their water quality and sustainability goals. Would you have some time this week or next to connect?</v>
      </c>
    </row>
    <row r="229" spans="1:5" hidden="1" x14ac:dyDescent="0.25">
      <c r="A229" s="4" t="s">
        <v>75</v>
      </c>
      <c r="B229" s="4" t="s">
        <v>685</v>
      </c>
      <c r="C229" s="4"/>
      <c r="D229" s="4" t="s">
        <v>96</v>
      </c>
      <c r="E229" s="49" t="str">
        <f t="shared" si="3"/>
        <v>Hello, my name is Rob Lee from Eclipsewater Technology and Services. I'm reaching out to Superior Pool Spa &amp; Leisure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Superior Pool Spa &amp; Leisure's water treatment needs. I'd love to schedule a brief call to learn more about your operations and share how we've helped similar Retail companies achieve their water quality and sustainability goals. Would you have some time this week or next to connect?</v>
      </c>
    </row>
    <row r="230" spans="1:5" hidden="1" x14ac:dyDescent="0.25">
      <c r="A230" s="4" t="s">
        <v>73</v>
      </c>
      <c r="B230" s="4" t="s">
        <v>685</v>
      </c>
      <c r="C230" s="4"/>
      <c r="D230" s="4" t="s">
        <v>612</v>
      </c>
      <c r="E230" s="49" t="str">
        <f t="shared" si="3"/>
        <v>Hello, my name is Rob Lee from Eclipsewater Technology and Services. I'm reaching out to Starling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Starling Pools's water treatment needs. I'd love to schedule a brief call to learn more about your operations and share how we've helped similar Retail companies achieve their water quality and sustainability goals. Would you have some time this week or next to connect?</v>
      </c>
    </row>
    <row r="231" spans="1:5" hidden="1" x14ac:dyDescent="0.25">
      <c r="A231" s="4" t="s">
        <v>72</v>
      </c>
      <c r="B231" s="4" t="s">
        <v>685</v>
      </c>
      <c r="C231" s="4"/>
      <c r="D231" s="4" t="s">
        <v>198</v>
      </c>
      <c r="E231" s="49" t="str">
        <f t="shared" si="3"/>
        <v>Hello, my name is Rob Lee from Eclipsewater Technology and Services. I'm reaching out to SS Swim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SS Swim Pools's water treatment needs. I'd love to schedule a brief call to learn more about your operations and share how we've helped similar Retail companies achieve their water quality and sustainability goals. Would you have some time this week or next to connect?</v>
      </c>
    </row>
    <row r="232" spans="1:5" hidden="1" x14ac:dyDescent="0.25">
      <c r="A232" s="4" t="s">
        <v>71</v>
      </c>
      <c r="B232" s="4" t="s">
        <v>685</v>
      </c>
      <c r="C232" s="4"/>
      <c r="D232" s="4" t="s">
        <v>513</v>
      </c>
      <c r="E232" s="49" t="str">
        <f t="shared" si="3"/>
        <v>Hello, my name is Rob Lee from Eclipsewater Technology and Services. I'm reaching out to Splendor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Splendor Pools's water treatment needs. I'd love to schedule a brief call to learn more about your operations and share how we've helped similar Retail companies achieve their water quality and sustainability goals. Would you have some time this week or next to connect?</v>
      </c>
    </row>
    <row r="233" spans="1:5" hidden="1" x14ac:dyDescent="0.25">
      <c r="A233" s="4" t="s">
        <v>70</v>
      </c>
      <c r="B233" s="4" t="s">
        <v>685</v>
      </c>
      <c r="C233" s="4"/>
      <c r="D233" s="4" t="s">
        <v>580</v>
      </c>
      <c r="E233" s="49" t="str">
        <f t="shared" si="3"/>
        <v>Hello, my name is Rob Lee from Eclipsewater Technology and Services. I'm reaching out to Sparkle Pool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Sparkle Pool's water treatment needs. I'd love to schedule a brief call to learn more about your operations and share how we've helped similar Retail companies achieve their water quality and sustainability goals. Would you have some time this week or next to connect?</v>
      </c>
    </row>
    <row r="234" spans="1:5" hidden="1" x14ac:dyDescent="0.25">
      <c r="A234" s="4" t="s">
        <v>420</v>
      </c>
      <c r="B234" s="4" t="s">
        <v>682</v>
      </c>
      <c r="C234" s="4"/>
      <c r="D234" s="4" t="s">
        <v>595</v>
      </c>
      <c r="E234" s="49" t="str">
        <f t="shared" si="3"/>
        <v>Hello, my name is Rob Lee from Eclipsewater Technology and Services. I'm reaching out to Space Mechanical Industries Inc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Space Mechanical Industries Inc's water treatment needs. I'd love to schedule a brief call to learn more about your operations and share how we've helped similar Automotive companies achieve their water quality and sustainability goals. Would you have some time this week or next to connect?</v>
      </c>
    </row>
    <row r="235" spans="1:5" hidden="1" x14ac:dyDescent="0.25">
      <c r="A235" s="4" t="s">
        <v>69</v>
      </c>
      <c r="B235" s="4" t="s">
        <v>685</v>
      </c>
      <c r="C235" s="4"/>
      <c r="D235" s="4" t="s">
        <v>612</v>
      </c>
      <c r="E235" s="49" t="str">
        <f t="shared" si="3"/>
        <v>Hello, my name is Rob Lee from Eclipsewater Technology and Services. I'm reaching out to Spa Shoppe (The)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Spa Shoppe (The)'s water treatment needs. I'd love to schedule a brief call to learn more about your operations and share how we've helped similar Retail companies achieve their water quality and sustainability goals. Would you have some time this week or next to connect?</v>
      </c>
    </row>
    <row r="236" spans="1:5" hidden="1" x14ac:dyDescent="0.25">
      <c r="A236" s="4" t="s">
        <v>68</v>
      </c>
      <c r="B236" s="4" t="s">
        <v>685</v>
      </c>
      <c r="C236" s="4"/>
      <c r="D236" s="4" t="s">
        <v>535</v>
      </c>
      <c r="E236" s="49" t="str">
        <f t="shared" si="3"/>
        <v>Hello, my name is Rob Lee from Eclipsewater Technology and Services. I'm reaching out to Sorensen Pool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Sorensen Pool's water treatment needs. I'd love to schedule a brief call to learn more about your operations and share how we've helped similar Retail companies achieve their water quality and sustainability goals. Would you have some time this week or next to connect?</v>
      </c>
    </row>
    <row r="237" spans="1:5" hidden="1" x14ac:dyDescent="0.25">
      <c r="A237" s="4" t="s">
        <v>174</v>
      </c>
      <c r="B237" s="4" t="s">
        <v>684</v>
      </c>
      <c r="C237" s="4"/>
      <c r="D237" s="4" t="s">
        <v>175</v>
      </c>
      <c r="E237" s="49" t="str">
        <f t="shared" si="3"/>
        <v>Hello, my name is Rob Lee from Eclipsewater Technology and Services. I'm reaching out to Six Nations Council Public Works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Six Nations Council Public Works's water treatment needs. I'd love to schedule a brief call to learn more about your operations and share how we've helped similar Municipal companies achieve their water quality and sustainability goals. Would you have some time this week or next to connect?</v>
      </c>
    </row>
    <row r="238" spans="1:5" hidden="1" x14ac:dyDescent="0.25">
      <c r="A238" s="4" t="s">
        <v>173</v>
      </c>
      <c r="B238" s="4" t="s">
        <v>685</v>
      </c>
      <c r="C238" s="4"/>
      <c r="D238" s="4" t="s">
        <v>580</v>
      </c>
      <c r="E238" s="49" t="str">
        <f t="shared" si="3"/>
        <v>Hello, my name is Rob Lee from Eclipsewater Technology and Services. I'm reaching out to Silver Pools Sales &amp; Service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Silver Pools Sales &amp; Service Inc's water treatment needs. I'd love to schedule a brief call to learn more about your operations and share how we've helped similar Retail companies achieve their water quality and sustainability goals. Would you have some time this week or next to connect?</v>
      </c>
    </row>
    <row r="239" spans="1:5" hidden="1" x14ac:dyDescent="0.25">
      <c r="A239" s="4" t="s">
        <v>10</v>
      </c>
      <c r="B239" s="4" t="s">
        <v>685</v>
      </c>
      <c r="C239" s="4"/>
      <c r="D239" s="4" t="s">
        <v>519</v>
      </c>
      <c r="E239" s="49" t="str">
        <f t="shared" si="3"/>
        <v>Hello, my name is Rob Lee from Eclipsewater Technology and Services. I'm reaching out to Shelin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Shelin Pools's water treatment needs. I'd love to schedule a brief call to learn more about your operations and share how we've helped similar Retail companies achieve their water quality and sustainability goals. Would you have some time this week or next to connect?</v>
      </c>
    </row>
    <row r="240" spans="1:5" hidden="1" x14ac:dyDescent="0.25">
      <c r="A240" s="4" t="s">
        <v>581</v>
      </c>
      <c r="B240" s="4" t="s">
        <v>685</v>
      </c>
      <c r="C240" s="4"/>
      <c r="D240" s="4" t="s">
        <v>209</v>
      </c>
      <c r="E240" s="49" t="str">
        <f t="shared" si="3"/>
        <v>Hello, my name is Rob Lee from Eclipsewater Technology and Services. I'm reaching out to Service Plus Aquatics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Service Plus Aquatics Inc's water treatment needs. I'd love to schedule a brief call to learn more about your operations and share how we've helped similar Retail companies achieve their water quality and sustainability goals. Would you have some time this week or next to connect?</v>
      </c>
    </row>
    <row r="241" spans="1:5" hidden="1" x14ac:dyDescent="0.25">
      <c r="A241" s="4" t="s">
        <v>579</v>
      </c>
      <c r="B241" s="4" t="s">
        <v>685</v>
      </c>
      <c r="C241" s="4"/>
      <c r="D241" s="4" t="s">
        <v>580</v>
      </c>
      <c r="E241" s="49" t="str">
        <f t="shared" si="3"/>
        <v>Hello, my name is Rob Lee from Eclipsewater Technology and Services. I'm reaching out to Seaway Pools Ltd (Markham)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Seaway Pools Ltd (Markham)'s water treatment needs. I'd love to schedule a brief call to learn more about your operations and share how we've helped similar Retail companies achieve their water quality and sustainability goals. Would you have some time this week or next to connect?</v>
      </c>
    </row>
    <row r="242" spans="1:5" hidden="1" x14ac:dyDescent="0.25">
      <c r="A242" s="4" t="s">
        <v>187</v>
      </c>
      <c r="B242" s="4" t="s">
        <v>685</v>
      </c>
      <c r="C242" s="4"/>
      <c r="D242" s="4" t="s">
        <v>252</v>
      </c>
      <c r="E242" s="49" t="str">
        <f t="shared" si="3"/>
        <v>Hello, my name is Rob Lee from Eclipsewater Technology and Services. I'm reaching out to Seaway Pools &amp; Hot Tub (Newmarket)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Seaway Pools &amp; Hot Tub (Newmarket)'s water treatment needs. I'd love to schedule a brief call to learn more about your operations and share how we've helped similar Retail companies achieve their water quality and sustainability goals. Would you have some time this week or next to connect?</v>
      </c>
    </row>
    <row r="243" spans="1:5" hidden="1" x14ac:dyDescent="0.25">
      <c r="A243" s="4" t="s">
        <v>185</v>
      </c>
      <c r="B243" s="4" t="s">
        <v>685</v>
      </c>
      <c r="C243" s="4"/>
      <c r="D243" s="4" t="s">
        <v>186</v>
      </c>
      <c r="E243" s="49" t="str">
        <f t="shared" si="3"/>
        <v>Hello, my name is Rob Lee from Eclipsewater Technology and Services. I'm reaching out to Ross Home Hardware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Ross Home Hardware's water treatment needs. I'd love to schedule a brief call to learn more about your operations and share how we've helped similar Retail companies achieve their water quality and sustainability goals. Would you have some time this week or next to connect?</v>
      </c>
    </row>
    <row r="244" spans="1:5" hidden="1" x14ac:dyDescent="0.25">
      <c r="A244" s="4" t="s">
        <v>183</v>
      </c>
      <c r="B244" s="4" t="s">
        <v>685</v>
      </c>
      <c r="C244" s="4"/>
      <c r="D244" s="4" t="s">
        <v>184</v>
      </c>
      <c r="E244" s="49" t="str">
        <f t="shared" si="3"/>
        <v>Hello, my name is Rob Lee from Eclipsewater Technology and Services. I'm reaching out to Rona Cashway Corp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Rona Cashway Corp's water treatment needs. I'd love to schedule a brief call to learn more about your operations and share how we've helped similar Retail companies achieve their water quality and sustainability goals. Would you have some time this week or next to connect?</v>
      </c>
    </row>
    <row r="245" spans="1:5" hidden="1" x14ac:dyDescent="0.25">
      <c r="A245" s="4" t="s">
        <v>182</v>
      </c>
      <c r="B245" s="4" t="s">
        <v>685</v>
      </c>
      <c r="C245" s="4"/>
      <c r="D245" s="4" t="s">
        <v>268</v>
      </c>
      <c r="E245" s="49" t="str">
        <f t="shared" si="3"/>
        <v>Hello, my name is Rob Lee from Eclipsewater Technology and Services. I'm reaching out to Ripley's Niagara Water Park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Ripley's Niagara Water Park's water treatment needs. I'd love to schedule a brief call to learn more about your operations and share how we've helped similar Retail companies achieve their water quality and sustainability goals. Would you have some time this week or next to connect?</v>
      </c>
    </row>
    <row r="246" spans="1:5" hidden="1" x14ac:dyDescent="0.25">
      <c r="A246" s="4" t="s">
        <v>180</v>
      </c>
      <c r="B246" s="4" t="s">
        <v>685</v>
      </c>
      <c r="C246" s="4"/>
      <c r="D246" s="4" t="s">
        <v>181</v>
      </c>
      <c r="E246" s="49" t="str">
        <f t="shared" si="3"/>
        <v>Hello, my name is Rob Lee from Eclipsewater Technology and Services. I'm reaching out to Ridgeway General Store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Ridgeway General Store's water treatment needs. I'd love to schedule a brief call to learn more about your operations and share how we've helped similar Retail companies achieve their water quality and sustainability goals. Would you have some time this week or next to connect?</v>
      </c>
    </row>
    <row r="247" spans="1:5" hidden="1" x14ac:dyDescent="0.25">
      <c r="A247" s="4" t="s">
        <v>178</v>
      </c>
      <c r="B247" s="4" t="s">
        <v>685</v>
      </c>
      <c r="C247" s="4"/>
      <c r="D247" s="4" t="s">
        <v>179</v>
      </c>
      <c r="E247" s="49" t="str">
        <f t="shared" si="3"/>
        <v>Hello, my name is Rob Lee from Eclipsewater Technology and Services. I'm reaching out to Rerrie's Bait &amp; Tackle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Rerrie's Bait &amp; Tackle's water treatment needs. I'd love to schedule a brief call to learn more about your operations and share how we've helped similar Retail companies achieve their water quality and sustainability goals. Would you have some time this week or next to connect?</v>
      </c>
    </row>
    <row r="248" spans="1:5" hidden="1" x14ac:dyDescent="0.25">
      <c r="A248" s="4" t="s">
        <v>93</v>
      </c>
      <c r="B248" s="4" t="s">
        <v>685</v>
      </c>
      <c r="C248" s="4"/>
      <c r="D248" s="4" t="s">
        <v>249</v>
      </c>
      <c r="E248" s="49" t="str">
        <f t="shared" si="3"/>
        <v>Hello, my name is Rob Lee from Eclipsewater Technology and Services. I'm reaching out to Relax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Relax Pools's water treatment needs. I'd love to schedule a brief call to learn more about your operations and share how we've helped similar Retail companies achieve their water quality and sustainability goals. Would you have some time this week or next to connect?</v>
      </c>
    </row>
    <row r="249" spans="1:5" hidden="1" x14ac:dyDescent="0.25">
      <c r="A249" s="4" t="s">
        <v>92</v>
      </c>
      <c r="B249" s="4" t="s">
        <v>684</v>
      </c>
      <c r="C249" s="4"/>
      <c r="D249" s="4" t="s">
        <v>475</v>
      </c>
      <c r="E249" s="49" t="str">
        <f t="shared" si="3"/>
        <v>Hello, my name is Rob Lee from Eclipsewater Technology and Services. I'm reaching out to Reg Munc of Niagara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Reg Munc of Niagara's water treatment needs. I'd love to schedule a brief call to learn more about your operations and share how we've helped similar Municipal companies achieve their water quality and sustainability goals. Would you have some time this week or next to connect?</v>
      </c>
    </row>
    <row r="250" spans="1:5" hidden="1" x14ac:dyDescent="0.25">
      <c r="A250" s="4" t="s">
        <v>91</v>
      </c>
      <c r="B250" s="4" t="s">
        <v>685</v>
      </c>
      <c r="C250" s="4"/>
      <c r="D250" s="4" t="s">
        <v>361</v>
      </c>
      <c r="E250" s="49" t="str">
        <f t="shared" si="3"/>
        <v>Hello, my name is Rob Lee from Eclipsewater Technology and Services. I'm reaching out to RCF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RCF Pools's water treatment needs. I'd love to schedule a brief call to learn more about your operations and share how we've helped similar Retail companies achieve their water quality and sustainability goals. Would you have some time this week or next to connect?</v>
      </c>
    </row>
    <row r="251" spans="1:5" hidden="1" x14ac:dyDescent="0.25">
      <c r="A251" s="4" t="s">
        <v>90</v>
      </c>
      <c r="B251" s="4" t="s">
        <v>685</v>
      </c>
      <c r="C251" s="4"/>
      <c r="D251" s="4" t="s">
        <v>210</v>
      </c>
      <c r="E251" s="49" t="str">
        <f t="shared" si="3"/>
        <v>Hello, my name is Rob Lee from Eclipsewater Technology and Services. I'm reaching out to Rainbow Pools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Rainbow Pools Ltd's water treatment needs. I'd love to schedule a brief call to learn more about your operations and share how we've helped similar Retail companies achieve their water quality and sustainability goals. Would you have some time this week or next to connect?</v>
      </c>
    </row>
    <row r="252" spans="1:5" hidden="1" x14ac:dyDescent="0.25">
      <c r="A252" s="4" t="s">
        <v>88</v>
      </c>
      <c r="B252" s="4" t="s">
        <v>685</v>
      </c>
      <c r="C252" s="4"/>
      <c r="D252" s="4" t="s">
        <v>89</v>
      </c>
      <c r="E252" s="49" t="str">
        <f t="shared" si="3"/>
        <v>Hello, my name is Rob Lee from Eclipsewater Technology and Services. I'm reaching out to R &amp; S Home Hardware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R &amp; S Home Hardware's water treatment needs. I'd love to schedule a brief call to learn more about your operations and share how we've helped similar Retail companies achieve their water quality and sustainability goals. Would you have some time this week or next to connect?</v>
      </c>
    </row>
    <row r="253" spans="1:5" hidden="1" x14ac:dyDescent="0.25">
      <c r="A253" s="4" t="s">
        <v>257</v>
      </c>
      <c r="B253" s="4" t="s">
        <v>685</v>
      </c>
      <c r="C253" s="4"/>
      <c r="D253" s="4" t="s">
        <v>258</v>
      </c>
      <c r="E253" s="49" t="str">
        <f t="shared" si="3"/>
        <v>Hello, my name is Rob Lee from Eclipsewater Technology and Services. I'm reaching out to Quality Pools &amp; Enterprises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Quality Pools &amp; Enterprises's water treatment needs. I'd love to schedule a brief call to learn more about your operations and share how we've helped similar Retail companies achieve their water quality and sustainability goals. Would you have some time this week or next to connect?</v>
      </c>
    </row>
    <row r="254" spans="1:5" hidden="1" x14ac:dyDescent="0.25">
      <c r="A254" s="4" t="s">
        <v>281</v>
      </c>
      <c r="B254" s="4" t="s">
        <v>685</v>
      </c>
      <c r="C254" s="4"/>
      <c r="D254" s="4" t="s">
        <v>43</v>
      </c>
      <c r="E254" s="49" t="str">
        <f t="shared" si="3"/>
        <v>Hello, my name is Rob Lee from Eclipsewater Technology and Services. I'm reaching out to Quality Pool &amp; Construction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Quality Pool &amp; Construction's water treatment needs. I'd love to schedule a brief call to learn more about your operations and share how we've helped similar Retail companies achieve their water quality and sustainability goals. Would you have some time this week or next to connect?</v>
      </c>
    </row>
    <row r="255" spans="1:5" hidden="1" x14ac:dyDescent="0.25">
      <c r="A255" s="34" t="s">
        <v>279</v>
      </c>
      <c r="B255" s="4" t="s">
        <v>685</v>
      </c>
      <c r="C255" s="34"/>
      <c r="D255" s="4" t="s">
        <v>553</v>
      </c>
      <c r="E255" s="49" t="str">
        <f t="shared" si="3"/>
        <v>Hello, my name is Rob Lee from Eclipsewater Technology and Services. I'm reaching out to Poolside Fine Swimming Pools &amp; Spas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Poolside Fine Swimming Pools &amp; Spas's water treatment needs. I'd love to schedule a brief call to learn more about your operations and share how we've helped similar Retail companies achieve their water quality and sustainability goals. Would you have some time this week or next to connect?</v>
      </c>
    </row>
    <row r="256" spans="1:5" hidden="1" x14ac:dyDescent="0.25">
      <c r="A256" s="4" t="s">
        <v>278</v>
      </c>
      <c r="B256" s="4" t="s">
        <v>685</v>
      </c>
      <c r="C256" s="4"/>
      <c r="D256" s="4" t="s">
        <v>513</v>
      </c>
      <c r="E256" s="49" t="str">
        <f t="shared" si="3"/>
        <v>Hello, my name is Rob Lee from Eclipsewater Technology and Services. I'm reaching out to Pools By Angelo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Pools By Angelo's water treatment needs. I'd love to schedule a brief call to learn more about your operations and share how we've helped similar Retail companies achieve their water quality and sustainability goals. Would you have some time this week or next to connect?</v>
      </c>
    </row>
    <row r="257" spans="1:5" hidden="1" x14ac:dyDescent="0.25">
      <c r="A257" s="4" t="s">
        <v>428</v>
      </c>
      <c r="B257" s="4" t="s">
        <v>685</v>
      </c>
      <c r="C257" s="4"/>
      <c r="D257" s="4" t="s">
        <v>209</v>
      </c>
      <c r="E257" s="49" t="str">
        <f t="shared" ref="E257:E320" si="4">IF(A257="","","Hello, my name is Rob Lee from Eclipsewater Technology and Services. I'm reaching out to "&amp;A257&amp;" because we specialize in providing industrial water treatment solutions for companies in the "&amp;B257&amp;" sector"&amp;IF(C257&lt;&gt;"", ", particularly those in the "&amp;C257&amp;"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")&amp;A257&amp;"'s water treatment needs. I'd love to schedule a brief call to learn more about your operations and share how we've helped similar "&amp;B257&amp;" companies achieve their water quality and sustainability goals. Would you have some time this week or next to connect?")</f>
        <v>Hello, my name is Rob Lee from Eclipsewater Technology and Services. I'm reaching out to Poolman Group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Poolman Group's water treatment needs. I'd love to schedule a brief call to learn more about your operations and share how we've helped similar Retail companies achieve their water quality and sustainability goals. Would you have some time this week or next to connect?</v>
      </c>
    </row>
    <row r="258" spans="1:5" hidden="1" x14ac:dyDescent="0.25">
      <c r="A258" s="4" t="s">
        <v>427</v>
      </c>
      <c r="B258" s="4" t="s">
        <v>685</v>
      </c>
      <c r="C258" s="4"/>
      <c r="D258" s="4" t="s">
        <v>43</v>
      </c>
      <c r="E258" s="49" t="str">
        <f t="shared" si="4"/>
        <v>Hello, my name is Rob Lee from Eclipsewater Technology and Services. I'm reaching out to Pool Place Plus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Pool Place Plus's water treatment needs. I'd love to schedule a brief call to learn more about your operations and share how we've helped similar Retail companies achieve their water quality and sustainability goals. Would you have some time this week or next to connect?</v>
      </c>
    </row>
    <row r="259" spans="1:5" hidden="1" x14ac:dyDescent="0.25">
      <c r="A259" s="29" t="s">
        <v>167</v>
      </c>
      <c r="B259" s="4" t="s">
        <v>685</v>
      </c>
      <c r="C259" s="36"/>
      <c r="D259" s="29" t="s">
        <v>612</v>
      </c>
      <c r="E259" s="49" t="str">
        <f t="shared" si="4"/>
        <v>Hello, my name is Rob Lee from Eclipsewater Technology and Services. I'm reaching out to Pleasure World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Pleasure World Pools's water treatment needs. I'd love to schedule a brief call to learn more about your operations and share how we've helped similar Retail companies achieve their water quality and sustainability goals. Would you have some time this week or next to connect?</v>
      </c>
    </row>
    <row r="260" spans="1:5" hidden="1" x14ac:dyDescent="0.25">
      <c r="A260" s="4" t="s">
        <v>189</v>
      </c>
      <c r="B260" s="4" t="s">
        <v>685</v>
      </c>
      <c r="C260" s="4"/>
      <c r="D260" s="4" t="s">
        <v>210</v>
      </c>
      <c r="E260" s="49" t="str">
        <f t="shared" si="4"/>
        <v>Hello, my name is Rob Lee from Eclipsewater Technology and Services. I'm reaching out to Pleasure World Pool Service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Pleasure World Pool Service's water treatment needs. I'd love to schedule a brief call to learn more about your operations and share how we've helped similar Retail companies achieve their water quality and sustainability goals. Would you have some time this week or next to connect?</v>
      </c>
    </row>
    <row r="261" spans="1:5" hidden="1" x14ac:dyDescent="0.25">
      <c r="A261" s="4" t="s">
        <v>188</v>
      </c>
      <c r="B261" s="4" t="s">
        <v>685</v>
      </c>
      <c r="C261" s="4"/>
      <c r="D261" s="4" t="s">
        <v>216</v>
      </c>
      <c r="E261" s="49" t="str">
        <f t="shared" si="4"/>
        <v>Hello, my name is Rob Lee from Eclipsewater Technology and Services. I'm reaching out to Pleasure Way Pools (1978)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Pleasure Way Pools (1978) Ltd's water treatment needs. I'd love to schedule a brief call to learn more about your operations and share how we've helped similar Retail companies achieve their water quality and sustainability goals. Would you have some time this week or next to connect?</v>
      </c>
    </row>
    <row r="262" spans="1:5" hidden="1" x14ac:dyDescent="0.25">
      <c r="A262" s="4" t="s">
        <v>241</v>
      </c>
      <c r="B262" s="4" t="s">
        <v>682</v>
      </c>
      <c r="C262" s="4"/>
      <c r="D262" s="4" t="s">
        <v>209</v>
      </c>
      <c r="E262" s="49" t="str">
        <f t="shared" si="4"/>
        <v>Hello, my name is Rob Lee from Eclipsewater Technology and Services. I'm reaching out to Plastcoat Limited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Plastcoat Limited's water treatment needs. I'd love to schedule a brief call to learn more about your operations and share how we've helped similar Automotive companies achieve their water quality and sustainability goals. Would you have some time this week or next to connect?</v>
      </c>
    </row>
    <row r="263" spans="1:5" hidden="1" x14ac:dyDescent="0.25">
      <c r="A263" s="4" t="s">
        <v>509</v>
      </c>
      <c r="B263" s="4" t="s">
        <v>685</v>
      </c>
      <c r="C263" s="4"/>
      <c r="D263" s="4" t="s">
        <v>553</v>
      </c>
      <c r="E263" s="49" t="str">
        <f t="shared" si="4"/>
        <v>Hello, my name is Rob Lee from Eclipsewater Technology and Services. I'm reaching out to Pioneer Pools (Oakville)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(Oakville)'s water treatment needs. I'd love to schedule a brief call to learn more about your operations and share how we've helped similar Retail companies achieve their water quality and sustainability goals. Would you have some time this week or next to connect?</v>
      </c>
    </row>
    <row r="264" spans="1:5" hidden="1" x14ac:dyDescent="0.25">
      <c r="A264" s="4" t="s">
        <v>87</v>
      </c>
      <c r="B264" s="4" t="s">
        <v>685</v>
      </c>
      <c r="C264" s="4"/>
      <c r="D264" s="4" t="s">
        <v>252</v>
      </c>
      <c r="E264" s="49" t="str">
        <f t="shared" si="4"/>
        <v>Hello, my name is Rob Lee from Eclipsewater Technology and Services. I'm reaching out to Pioneer Pools (Newmarket)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(Newmarket)'s water treatment needs. I'd love to schedule a brief call to learn more about your operations and share how we've helped similar Retail companies achieve their water quality and sustainability goals. Would you have some time this week or next to connect?</v>
      </c>
    </row>
    <row r="265" spans="1:5" hidden="1" x14ac:dyDescent="0.25">
      <c r="A265" s="4" t="s">
        <v>85</v>
      </c>
      <c r="B265" s="4" t="s">
        <v>685</v>
      </c>
      <c r="C265" s="4"/>
      <c r="D265" s="4" t="s">
        <v>86</v>
      </c>
      <c r="E265" s="49" t="str">
        <f t="shared" si="4"/>
        <v>Hello, my name is Rob Lee from Eclipsewater Technology and Services. I'm reaching out to Pioneer Pools (Midhurst)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(Midhurst)'s water treatment needs. I'd love to schedule a brief call to learn more about your operations and share how we've helped similar Retail companies achieve their water quality and sustainability goals. Would you have some time this week or next to connect?</v>
      </c>
    </row>
    <row r="266" spans="1:5" hidden="1" x14ac:dyDescent="0.25">
      <c r="A266" s="4" t="s">
        <v>84</v>
      </c>
      <c r="B266" s="4" t="s">
        <v>685</v>
      </c>
      <c r="C266" s="4"/>
      <c r="D266" s="4" t="s">
        <v>381</v>
      </c>
      <c r="E266" s="49" t="str">
        <f t="shared" si="4"/>
        <v>Hello, my name is Rob Lee from Eclipsewater Technology and Services. I'm reaching out to Pioneer Pools (London)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(London)'s water treatment needs. I'd love to schedule a brief call to learn more about your operations and share how we've helped similar Retail companies achieve their water quality and sustainability goals. Would you have some time this week or next to connect?</v>
      </c>
    </row>
    <row r="267" spans="1:5" hidden="1" x14ac:dyDescent="0.25">
      <c r="A267" s="4" t="s">
        <v>83</v>
      </c>
      <c r="B267" s="4" t="s">
        <v>685</v>
      </c>
      <c r="C267" s="4"/>
      <c r="D267" s="4" t="s">
        <v>527</v>
      </c>
      <c r="E267" s="49" t="str">
        <f t="shared" si="4"/>
        <v>Hello, my name is Rob Lee from Eclipsewater Technology and Services. I'm reaching out to Pioneer Pools (Kitchener)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(Kitchener)'s water treatment needs. I'd love to schedule a brief call to learn more about your operations and share how we've helped similar Retail companies achieve their water quality and sustainability goals. Would you have some time this week or next to connect?</v>
      </c>
    </row>
    <row r="268" spans="1:5" hidden="1" x14ac:dyDescent="0.25">
      <c r="A268" s="4" t="s">
        <v>445</v>
      </c>
      <c r="B268" s="4" t="s">
        <v>685</v>
      </c>
      <c r="C268" s="4"/>
      <c r="D268" s="4" t="s">
        <v>561</v>
      </c>
      <c r="E268" s="49" t="str">
        <f t="shared" si="4"/>
        <v>Hello, my name is Rob Lee from Eclipsewater Technology and Services. I'm reaching out to Pioneer Pools (Kingston)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(Kingston)'s water treatment needs. I'd love to schedule a brief call to learn more about your operations and share how we've helped similar Retail companies achieve their water quality and sustainability goals. Would you have some time this week or next to connect?</v>
      </c>
    </row>
    <row r="269" spans="1:5" hidden="1" x14ac:dyDescent="0.25">
      <c r="A269" s="4" t="s">
        <v>587</v>
      </c>
      <c r="B269" s="4" t="s">
        <v>685</v>
      </c>
      <c r="C269" s="4"/>
      <c r="D269" s="4" t="s">
        <v>210</v>
      </c>
      <c r="E269" s="49" t="str">
        <f t="shared" si="4"/>
        <v>Hello, my name is Rob Lee from Eclipsewater Technology and Services. I'm reaching out to Pioneer Pools (Burlington)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(Burlington)'s water treatment needs. I'd love to schedule a brief call to learn more about your operations and share how we've helped similar Retail companies achieve their water quality and sustainability goals. Would you have some time this week or next to connect?</v>
      </c>
    </row>
    <row r="270" spans="1:5" hidden="1" x14ac:dyDescent="0.25">
      <c r="A270" s="4" t="s">
        <v>586</v>
      </c>
      <c r="B270" s="4" t="s">
        <v>685</v>
      </c>
      <c r="C270" s="4"/>
      <c r="D270" s="4" t="s">
        <v>240</v>
      </c>
      <c r="E270" s="49" t="str">
        <f t="shared" si="4"/>
        <v>Hello, my name is Rob Lee from Eclipsewater Technology and Services. I'm reaching out to Pioneer Pools (Brampton)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Pools (Brampton)'s water treatment needs. I'd love to schedule a brief call to learn more about your operations and share how we've helped similar Retail companies achieve their water quality and sustainability goals. Would you have some time this week or next to connect?</v>
      </c>
    </row>
    <row r="271" spans="1:5" hidden="1" x14ac:dyDescent="0.25">
      <c r="A271" s="4" t="s">
        <v>622</v>
      </c>
      <c r="B271" s="4" t="s">
        <v>685</v>
      </c>
      <c r="C271" s="4"/>
      <c r="D271" s="4" t="s">
        <v>588</v>
      </c>
      <c r="E271" s="49" t="str">
        <f t="shared" si="4"/>
        <v>Hello, my name is Rob Lee from Eclipsewater Technology and Services. I'm reaching out to Pioneer (Hamilton-Rymal)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Pioneer (Hamilton-Rymal)'s water treatment needs. I'd love to schedule a brief call to learn more about your operations and share how we've helped similar Retail companies achieve their water quality and sustainability goals. Would you have some time this week or next to connect?</v>
      </c>
    </row>
    <row r="272" spans="1:5" hidden="1" x14ac:dyDescent="0.25">
      <c r="A272" s="4" t="s">
        <v>511</v>
      </c>
      <c r="B272" s="4" t="s">
        <v>685</v>
      </c>
      <c r="C272" s="4"/>
      <c r="D272" s="4" t="s">
        <v>563</v>
      </c>
      <c r="E272" s="49" t="str">
        <f t="shared" si="4"/>
        <v>Hello, my name is Rob Lee from Eclipsewater Technology and Services. I'm reaching out to Peterborough Sport &amp; Wellness Center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Peterborough Sport &amp; Wellness Center's water treatment needs. I'd love to schedule a brief call to learn more about your operations and share how we've helped similar Retail companies achieve their water quality and sustainability goals. Would you have some time this week or next to connect?</v>
      </c>
    </row>
    <row r="273" spans="1:5" hidden="1" x14ac:dyDescent="0.25">
      <c r="A273" s="4" t="s">
        <v>630</v>
      </c>
      <c r="B273" s="4" t="s">
        <v>685</v>
      </c>
      <c r="C273" s="4"/>
      <c r="D273" s="4" t="s">
        <v>563</v>
      </c>
      <c r="E273" s="49" t="str">
        <f t="shared" si="4"/>
        <v>Hello, my name is Rob Lee from Eclipsewater Technology and Services. I'm reaching out to Peterborough District Co-op Svcs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Peterborough District Co-op Svcs's water treatment needs. I'd love to schedule a brief call to learn more about your operations and share how we've helped similar Retail companies achieve their water quality and sustainability goals. Would you have some time this week or next to connect?</v>
      </c>
    </row>
    <row r="274" spans="1:5" hidden="1" x14ac:dyDescent="0.25">
      <c r="A274" s="4" t="s">
        <v>628</v>
      </c>
      <c r="B274" s="4" t="s">
        <v>685</v>
      </c>
      <c r="C274" s="4"/>
      <c r="D274" s="4" t="s">
        <v>629</v>
      </c>
      <c r="E274" s="49" t="str">
        <f t="shared" si="4"/>
        <v>Hello, my name is Rob Lee from Eclipsewater Technology and Services. I'm reaching out to Permanent Pool &amp; Patio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Permanent Pool &amp; Patio's water treatment needs. I'd love to schedule a brief call to learn more about your operations and share how we've helped similar Retail companies achieve their water quality and sustainability goals. Would you have some time this week or next to connect?</v>
      </c>
    </row>
    <row r="275" spans="1:5" hidden="1" x14ac:dyDescent="0.25">
      <c r="A275" s="4" t="s">
        <v>529</v>
      </c>
      <c r="B275" s="4" t="s">
        <v>685</v>
      </c>
      <c r="C275" s="4"/>
      <c r="D275" s="4" t="s">
        <v>530</v>
      </c>
      <c r="E275" s="49" t="str">
        <f t="shared" si="4"/>
        <v>Hello, my name is Rob Lee from Eclipsewater Technology and Services. I'm reaching out to Paramount Canadas Wonderland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Paramount Canadas Wonderland Inc's water treatment needs. I'd love to schedule a brief call to learn more about your operations and share how we've helped similar Retail companies achieve their water quality and sustainability goals. Would you have some time this week or next to connect?</v>
      </c>
    </row>
    <row r="276" spans="1:5" hidden="1" x14ac:dyDescent="0.25">
      <c r="A276" s="4" t="s">
        <v>405</v>
      </c>
      <c r="B276" s="4" t="s">
        <v>682</v>
      </c>
      <c r="C276" s="4"/>
      <c r="D276" s="4" t="s">
        <v>158</v>
      </c>
      <c r="E276" s="49" t="str">
        <f t="shared" si="4"/>
        <v>Hello, my name is Rob Lee from Eclipsewater Technology and Services. I'm reaching out to Oxford Automotive Canada  Ltd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Oxford Automotive Canada  Ltd's water treatment needs. I'd love to schedule a brief call to learn more about your operations and share how we've helped similar Automotive companies achieve their water quality and sustainability goals. Would you have some time this week or next to connect?</v>
      </c>
    </row>
    <row r="277" spans="1:5" hidden="1" x14ac:dyDescent="0.25">
      <c r="A277" s="4" t="s">
        <v>127</v>
      </c>
      <c r="B277" s="4" t="s">
        <v>685</v>
      </c>
      <c r="C277" s="4"/>
      <c r="D277" s="4" t="s">
        <v>268</v>
      </c>
      <c r="E277" s="49" t="str">
        <f t="shared" si="4"/>
        <v>Hello, my name is Rob Lee from Eclipsewater Technology and Services. I'm reaching out to Modern Mosaic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Modern Mosaic's water treatment needs. I'd love to schedule a brief call to learn more about your operations and share how we've helped similar Retail companies achieve their water quality and sustainability goals. Would you have some time this week or next to connect?</v>
      </c>
    </row>
    <row r="278" spans="1:5" hidden="1" x14ac:dyDescent="0.25">
      <c r="A278" s="4" t="s">
        <v>124</v>
      </c>
      <c r="B278" s="4" t="s">
        <v>684</v>
      </c>
      <c r="C278" s="4"/>
      <c r="D278" s="4" t="s">
        <v>210</v>
      </c>
      <c r="E278" s="49" t="str">
        <f t="shared" si="4"/>
        <v>Hello, my name is Rob Lee from Eclipsewater Technology and Services. I'm reaching out to Min Of Natural Resources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Min Of Natural Resources's water treatment needs. I'd love to schedule a brief call to learn more about your operations and share how we've helped similar Municipal companies achieve their water quality and sustainability goals. Would you have some time this week or next to connect?</v>
      </c>
    </row>
    <row r="279" spans="1:5" hidden="1" x14ac:dyDescent="0.25">
      <c r="A279" s="4" t="s">
        <v>39</v>
      </c>
      <c r="B279" s="4" t="s">
        <v>685</v>
      </c>
      <c r="C279" s="4"/>
      <c r="D279" s="4" t="s">
        <v>40</v>
      </c>
      <c r="E279" s="49" t="str">
        <f t="shared" si="4"/>
        <v>Hello, my name is Rob Lee from Eclipsewater Technology and Services. I'm reaching out to Millen Marine &amp; Industrial Supply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Millen Marine &amp; Industrial Supply's water treatment needs. I'd love to schedule a brief call to learn more about your operations and share how we've helped similar Retail companies achieve their water quality and sustainability goals. Would you have some time this week or next to connect?</v>
      </c>
    </row>
    <row r="280" spans="1:5" hidden="1" x14ac:dyDescent="0.25">
      <c r="A280" s="4" t="s">
        <v>122</v>
      </c>
      <c r="B280" s="4" t="s">
        <v>682</v>
      </c>
      <c r="C280" s="4"/>
      <c r="D280" s="4" t="s">
        <v>123</v>
      </c>
      <c r="E280" s="49" t="str">
        <f t="shared" si="4"/>
        <v>Hello, my name is Rob Lee from Eclipsewater Technology and Services. I'm reaching out to Meritor Automotive Inc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Meritor Automotive Inc's water treatment needs. I'd love to schedule a brief call to learn more about your operations and share how we've helped similar Automotive companies achieve their water quality and sustainability goals. Would you have some time this week or next to connect?</v>
      </c>
    </row>
    <row r="281" spans="1:5" hidden="1" x14ac:dyDescent="0.25">
      <c r="A281" s="4" t="s">
        <v>474</v>
      </c>
      <c r="B281" s="4" t="s">
        <v>685</v>
      </c>
      <c r="C281" s="4"/>
      <c r="D281" s="4" t="s">
        <v>475</v>
      </c>
      <c r="E281" s="49" t="str">
        <f t="shared" si="4"/>
        <v>Hello, my name is Rob Lee from Eclipsewater Technology and Services. I'm reaching out to Mel's Pool Service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Mel's Pool Service's water treatment needs. I'd love to schedule a brief call to learn more about your operations and share how we've helped similar Retail companies achieve their water quality and sustainability goals. Would you have some time this week or next to connect?</v>
      </c>
    </row>
    <row r="282" spans="1:5" hidden="1" x14ac:dyDescent="0.25">
      <c r="A282" s="4" t="s">
        <v>507</v>
      </c>
      <c r="B282" s="4" t="s">
        <v>685</v>
      </c>
      <c r="C282" s="4"/>
      <c r="D282" s="4" t="s">
        <v>252</v>
      </c>
      <c r="E282" s="49" t="str">
        <f t="shared" si="4"/>
        <v>Hello, my name is Rob Lee from Eclipsewater Technology and Services. I'm reaching out to Malecki Drum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Malecki Drum Inc's water treatment needs. I'd love to schedule a brief call to learn more about your operations and share how we've helped similar Retail companies achieve their water quality and sustainability goals. Would you have some time this week or next to connect?</v>
      </c>
    </row>
    <row r="283" spans="1:5" hidden="1" x14ac:dyDescent="0.25">
      <c r="A283" s="4" t="s">
        <v>502</v>
      </c>
      <c r="B283" s="4" t="s">
        <v>685</v>
      </c>
      <c r="C283" s="4"/>
      <c r="D283" s="4" t="s">
        <v>269</v>
      </c>
      <c r="E283" s="49" t="str">
        <f t="shared" si="4"/>
        <v>Hello, my name is Rob Lee from Eclipsewater Technology and Services. I'm reaching out to Leysons Chemical Products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Leysons Chemical Products's water treatment needs. I'd love to schedule a brief call to learn more about your operations and share how we've helped similar Retail companies achieve their water quality and sustainability goals. Would you have some time this week or next to connect?</v>
      </c>
    </row>
    <row r="284" spans="1:5" hidden="1" x14ac:dyDescent="0.25">
      <c r="A284" s="4" t="s">
        <v>61</v>
      </c>
      <c r="B284" s="4" t="s">
        <v>685</v>
      </c>
      <c r="C284" s="4"/>
      <c r="D284" s="4" t="s">
        <v>623</v>
      </c>
      <c r="E284" s="49" t="str">
        <f t="shared" si="4"/>
        <v>Hello, my name is Rob Lee from Eclipsewater Technology and Services. I'm reaching out to Leamington Pool Service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Leamington Pool Service Ltd's water treatment needs. I'd love to schedule a brief call to learn more about your operations and share how we've helped similar Retail companies achieve their water quality and sustainability goals. Would you have some time this week or next to connect?</v>
      </c>
    </row>
    <row r="285" spans="1:5" hidden="1" x14ac:dyDescent="0.25">
      <c r="A285" s="4" t="s">
        <v>560</v>
      </c>
      <c r="B285" s="4" t="s">
        <v>685</v>
      </c>
      <c r="C285" s="4"/>
      <c r="D285" s="4" t="s">
        <v>612</v>
      </c>
      <c r="E285" s="49" t="str">
        <f t="shared" si="4"/>
        <v>Hello, my name is Rob Lee from Eclipsewater Technology and Services. I'm reaching out to Lazy Day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Lazy Day Pools's water treatment needs. I'd love to schedule a brief call to learn more about your operations and share how we've helped similar Retail companies achieve their water quality and sustainability goals. Would you have some time this week or next to connect?</v>
      </c>
    </row>
    <row r="286" spans="1:5" hidden="1" x14ac:dyDescent="0.25">
      <c r="A286" s="4" t="s">
        <v>501</v>
      </c>
      <c r="B286" s="4" t="s">
        <v>685</v>
      </c>
      <c r="C286" s="4"/>
      <c r="D286" s="4" t="s">
        <v>553</v>
      </c>
      <c r="E286" s="49" t="str">
        <f t="shared" si="4"/>
        <v>Hello, my name is Rob Lee from Eclipsewater Technology and Services. I'm reaching out to Lawrason's Pool Products Inc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Lawrason's Pool Products Inc's water treatment needs. I'd love to schedule a brief call to learn more about your operations and share how we've helped similar Retail companies achieve their water quality and sustainability goals. Would you have some time this week or next to connect?</v>
      </c>
    </row>
    <row r="287" spans="1:5" hidden="1" x14ac:dyDescent="0.25">
      <c r="A287" s="29" t="s">
        <v>609</v>
      </c>
      <c r="B287" s="4" t="s">
        <v>684</v>
      </c>
      <c r="C287" s="36"/>
      <c r="D287" s="29" t="s">
        <v>209</v>
      </c>
      <c r="E287" s="49" t="str">
        <f t="shared" si="4"/>
        <v>Hello, my name is Rob Lee from Eclipsewater Technology and Services. I'm reaching out to Lakeview WTP (Consultant)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Lakeview WTP (Consultant)'s water treatment needs. I'd love to schedule a brief call to learn more about your operations and share how we've helped similar Municipal companies achieve their water quality and sustainability goals. Would you have some time this week or next to connect?</v>
      </c>
    </row>
    <row r="288" spans="1:5" hidden="1" x14ac:dyDescent="0.25">
      <c r="A288" s="4" t="s">
        <v>177</v>
      </c>
      <c r="B288" s="4" t="s">
        <v>685</v>
      </c>
      <c r="C288" s="4"/>
      <c r="D288" s="4" t="s">
        <v>253</v>
      </c>
      <c r="E288" s="49" t="str">
        <f t="shared" si="4"/>
        <v>Hello, my name is Rob Lee from Eclipsewater Technology and Services. I'm reaching out to Krupp Hardware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Krupp Hardware Ltd's water treatment needs. I'd love to schedule a brief call to learn more about your operations and share how we've helped similar Retail companies achieve their water quality and sustainability goals. Would you have some time this week or next to connect?</v>
      </c>
    </row>
    <row r="289" spans="1:5" hidden="1" x14ac:dyDescent="0.25">
      <c r="A289" s="4" t="s">
        <v>176</v>
      </c>
      <c r="B289" s="4" t="s">
        <v>685</v>
      </c>
      <c r="C289" s="4"/>
      <c r="D289" s="4" t="s">
        <v>251</v>
      </c>
      <c r="E289" s="49" t="str">
        <f t="shared" si="4"/>
        <v>Hello, my name is Rob Lee from Eclipsewater Technology and Services. I'm reaching out to Kingsville Fishermens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Kingsville Fishermens's water treatment needs. I'd love to schedule a brief call to learn more about your operations and share how we've helped similar Retail companies achieve their water quality and sustainability goals. Would you have some time this week or next to connect?</v>
      </c>
    </row>
    <row r="290" spans="1:5" hidden="1" x14ac:dyDescent="0.25">
      <c r="A290" s="4" t="s">
        <v>250</v>
      </c>
      <c r="B290" s="4" t="s">
        <v>685</v>
      </c>
      <c r="C290" s="4"/>
      <c r="D290" s="4" t="s">
        <v>268</v>
      </c>
      <c r="E290" s="49" t="str">
        <f t="shared" si="4"/>
        <v>Hello, my name is Rob Lee from Eclipsewater Technology and Services. I'm reaching out to KanDu Pools (YM-YWCA)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KanDu Pools (YM-YWCA)'s water treatment needs. I'd love to schedule a brief call to learn more about your operations and share how we've helped similar Retail companies achieve their water quality and sustainability goals. Would you have some time this week or next to connect?</v>
      </c>
    </row>
    <row r="291" spans="1:5" hidden="1" x14ac:dyDescent="0.25">
      <c r="A291" s="4" t="s">
        <v>138</v>
      </c>
      <c r="B291" s="4" t="s">
        <v>685</v>
      </c>
      <c r="C291" s="4"/>
      <c r="D291" s="4" t="s">
        <v>247</v>
      </c>
      <c r="E291" s="49" t="str">
        <f t="shared" si="4"/>
        <v>Hello, my name is Rob Lee from Eclipsewater Technology and Services. I'm reaching out to KanDu Pools (YMCA)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KanDu Pools (YMCA)'s water treatment needs. I'd love to schedule a brief call to learn more about your operations and share how we've helped similar Retail companies achieve their water quality and sustainability goals. Would you have some time this week or next to connect?</v>
      </c>
    </row>
    <row r="292" spans="1:5" hidden="1" x14ac:dyDescent="0.25">
      <c r="A292" s="4" t="s">
        <v>137</v>
      </c>
      <c r="B292" s="4" t="s">
        <v>685</v>
      </c>
      <c r="C292" s="4"/>
      <c r="D292" s="4" t="s">
        <v>535</v>
      </c>
      <c r="E292" s="49" t="str">
        <f t="shared" si="4"/>
        <v>Hello, my name is Rob Lee from Eclipsewater Technology and Services. I'm reaching out to KanDu Pools (St Catherines)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KanDu Pools (St Catherines)'s water treatment needs. I'd love to schedule a brief call to learn more about your operations and share how we've helped similar Retail companies achieve their water quality and sustainability goals. Would you have some time this week or next to connect?</v>
      </c>
    </row>
    <row r="293" spans="1:5" hidden="1" x14ac:dyDescent="0.25">
      <c r="A293" s="4" t="s">
        <v>136</v>
      </c>
      <c r="B293" s="4" t="s">
        <v>685</v>
      </c>
      <c r="C293" s="4"/>
      <c r="D293" s="4" t="s">
        <v>408</v>
      </c>
      <c r="E293" s="49" t="str">
        <f t="shared" si="4"/>
        <v>Hello, my name is Rob Lee from Eclipsewater Technology and Services. I'm reaching out to KanDu Pools (Sherkston Shores)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KanDu Pools (Sherkston Shores)'s water treatment needs. I'd love to schedule a brief call to learn more about your operations and share how we've helped similar Retail companies achieve their water quality and sustainability goals. Would you have some time this week or next to connect?</v>
      </c>
    </row>
    <row r="294" spans="1:5" hidden="1" x14ac:dyDescent="0.25">
      <c r="A294" s="4" t="s">
        <v>135</v>
      </c>
      <c r="B294" s="4" t="s">
        <v>685</v>
      </c>
      <c r="C294" s="4"/>
      <c r="D294" s="4" t="s">
        <v>268</v>
      </c>
      <c r="E294" s="49" t="str">
        <f t="shared" si="4"/>
        <v>Hello, my name is Rob Lee from Eclipsewater Technology and Services. I'm reaching out to KanDu Pools (Niagara Falls)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KanDu Pools (Niagara Falls)'s water treatment needs. I'd love to schedule a brief call to learn more about your operations and share how we've helped similar Retail companies achieve their water quality and sustainability goals. Would you have some time this week or next to connect?</v>
      </c>
    </row>
    <row r="295" spans="1:5" hidden="1" x14ac:dyDescent="0.25">
      <c r="A295" s="4" t="s">
        <v>261</v>
      </c>
      <c r="B295" s="4" t="s">
        <v>685</v>
      </c>
      <c r="C295" s="4"/>
      <c r="D295" s="29" t="s">
        <v>475</v>
      </c>
      <c r="E295" s="49" t="str">
        <f t="shared" si="4"/>
        <v>Hello, my name is Rob Lee from Eclipsewater Technology and Services. I'm reaching out to KanDu Pools (Kinsmen Pool)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KanDu Pools (Kinsmen Pool)'s water treatment needs. I'd love to schedule a brief call to learn more about your operations and share how we've helped similar Retail companies achieve their water quality and sustainability goals. Would you have some time this week or next to connect?</v>
      </c>
    </row>
    <row r="296" spans="1:5" hidden="1" x14ac:dyDescent="0.25">
      <c r="A296" s="4" t="s">
        <v>225</v>
      </c>
      <c r="B296" s="4" t="s">
        <v>685</v>
      </c>
      <c r="C296" s="4"/>
      <c r="D296" s="4" t="s">
        <v>252</v>
      </c>
      <c r="E296" s="49" t="str">
        <f t="shared" si="4"/>
        <v>Hello, my name is Rob Lee from Eclipsewater Technology and Services. I'm reaching out to Jet Ice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Jet Ice's water treatment needs. I'd love to schedule a brief call to learn more about your operations and share how we've helped similar Retail companies achieve their water quality and sustainability goals. Would you have some time this week or next to connect?</v>
      </c>
    </row>
    <row r="297" spans="1:5" hidden="1" x14ac:dyDescent="0.25">
      <c r="A297" s="4" t="s">
        <v>150</v>
      </c>
      <c r="B297" s="4" t="s">
        <v>685</v>
      </c>
      <c r="C297" s="4"/>
      <c r="D297" s="4" t="s">
        <v>595</v>
      </c>
      <c r="E297" s="49" t="str">
        <f t="shared" si="4"/>
        <v>Hello, my name is Rob Lee from Eclipsewater Technology and Services. I'm reaching out to International Pool &amp; Spa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International Pool &amp; Spa's water treatment needs. I'd love to schedule a brief call to learn more about your operations and share how we've helped similar Retail companies achieve their water quality and sustainability goals. Would you have some time this week or next to connect?</v>
      </c>
    </row>
    <row r="298" spans="1:5" hidden="1" x14ac:dyDescent="0.25">
      <c r="A298" s="4" t="s">
        <v>391</v>
      </c>
      <c r="B298" s="4" t="s">
        <v>685</v>
      </c>
      <c r="C298" s="4"/>
      <c r="D298" s="4" t="s">
        <v>149</v>
      </c>
      <c r="E298" s="49" t="str">
        <f t="shared" si="4"/>
        <v>Hello, my name is Rob Lee from Eclipsewater Technology and Services. I'm reaching out to Hunsinger's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Hunsinger's's water treatment needs. I'd love to schedule a brief call to learn more about your operations and share how we've helped similar Retail companies achieve their water quality and sustainability goals. Would you have some time this week or next to connect?</v>
      </c>
    </row>
    <row r="299" spans="1:5" hidden="1" x14ac:dyDescent="0.25">
      <c r="A299" s="4" t="s">
        <v>596</v>
      </c>
      <c r="B299" s="4" t="s">
        <v>685</v>
      </c>
      <c r="C299" s="4"/>
      <c r="D299" s="4" t="s">
        <v>597</v>
      </c>
      <c r="E299" s="49" t="str">
        <f t="shared" si="4"/>
        <v>Hello, my name is Rob Lee from Eclipsewater Technology and Services. I'm reaching out to Houghton Canada Inc (DDM Plastics)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Houghton Canada Inc (DDM Plastics)'s water treatment needs. I'd love to schedule a brief call to learn more about your operations and share how we've helped similar Retail companies achieve their water quality and sustainability goals. Would you have some time this week or next to connect?</v>
      </c>
    </row>
    <row r="300" spans="1:5" hidden="1" x14ac:dyDescent="0.25">
      <c r="A300" s="4" t="s">
        <v>508</v>
      </c>
      <c r="B300" s="4" t="s">
        <v>682</v>
      </c>
      <c r="C300" s="4"/>
      <c r="D300" s="4" t="s">
        <v>595</v>
      </c>
      <c r="E300" s="49" t="str">
        <f t="shared" si="4"/>
        <v>Hello, my name is Rob Lee from Eclipsewater Technology and Services. I'm reaching out to Houghton Canada Inc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Houghton Canada Inc's water treatment needs. I'd love to schedule a brief call to learn more about your operations and share how we've helped similar Automotive companies achieve their water quality and sustainability goals. Would you have some time this week or next to connect?</v>
      </c>
    </row>
    <row r="301" spans="1:5" hidden="1" x14ac:dyDescent="0.25">
      <c r="A301" s="4" t="s">
        <v>133</v>
      </c>
      <c r="B301" s="4" t="s">
        <v>682</v>
      </c>
      <c r="C301" s="4"/>
      <c r="D301" s="4" t="s">
        <v>14</v>
      </c>
      <c r="E301" s="49" t="str">
        <f t="shared" si="4"/>
        <v>Hello, my name is Rob Lee from Eclipsewater Technology and Services. I'm reaching out to Houghton (Flex-N-Gate Seeburn)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Houghton (Flex-N-Gate Seeburn)'s water treatment needs. I'd love to schedule a brief call to learn more about your operations and share how we've helped similar Automotive companies achieve their water quality and sustainability goals. Would you have some time this week or next to connect?</v>
      </c>
    </row>
    <row r="302" spans="1:5" hidden="1" x14ac:dyDescent="0.25">
      <c r="A302" s="4" t="s">
        <v>436</v>
      </c>
      <c r="B302" s="4" t="s">
        <v>685</v>
      </c>
      <c r="C302" s="4"/>
      <c r="D302" s="4" t="s">
        <v>482</v>
      </c>
      <c r="E302" s="49" t="str">
        <f t="shared" si="4"/>
        <v>Hello, my name is Rob Lee from Eclipsewater Technology and Services. I'm reaching out to Home Hardware Stores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Home Hardware Stores Ltd's water treatment needs. I'd love to schedule a brief call to learn more about your operations and share how we've helped similar Retail companies achieve their water quality and sustainability goals. Would you have some time this week or next to connect?</v>
      </c>
    </row>
    <row r="303" spans="1:5" hidden="1" x14ac:dyDescent="0.25">
      <c r="A303" s="4" t="s">
        <v>607</v>
      </c>
      <c r="B303" s="4" t="s">
        <v>685</v>
      </c>
      <c r="C303" s="4"/>
      <c r="D303" s="4" t="s">
        <v>608</v>
      </c>
      <c r="E303" s="49" t="str">
        <f t="shared" si="4"/>
        <v>Hello, my name is Rob Lee from Eclipsewater Technology and Services. I'm reaching out to Hodgkins True Value Hardware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Hodgkins True Value Hardware's water treatment needs. I'd love to schedule a brief call to learn more about your operations and share how we've helped similar Retail companies achieve their water quality and sustainability goals. Would you have some time this week or next to connect?</v>
      </c>
    </row>
    <row r="304" spans="1:5" hidden="1" x14ac:dyDescent="0.25">
      <c r="A304" s="4" t="s">
        <v>432</v>
      </c>
      <c r="B304" s="4" t="s">
        <v>685</v>
      </c>
      <c r="C304" s="4"/>
      <c r="D304" s="4" t="s">
        <v>588</v>
      </c>
      <c r="E304" s="49" t="str">
        <f t="shared" si="4"/>
        <v>Hello, my name is Rob Lee from Eclipsewater Technology and Services. I'm reaching out to Hamilton Specialty Bar Corpn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Hamilton Specialty Bar Corpn's water treatment needs. I'd love to schedule a brief call to learn more about your operations and share how we've helped similar Retail companies achieve their water quality and sustainability goals. Would you have some time this week or next to connect?</v>
      </c>
    </row>
    <row r="305" spans="1:5" hidden="1" x14ac:dyDescent="0.25">
      <c r="A305" s="4" t="s">
        <v>430</v>
      </c>
      <c r="B305" s="4" t="s">
        <v>682</v>
      </c>
      <c r="C305" s="4"/>
      <c r="D305" s="4" t="s">
        <v>198</v>
      </c>
      <c r="E305" s="49" t="str">
        <f t="shared" si="4"/>
        <v>Hello, my name is Rob Lee from Eclipsewater Technology and Services. I'm reaching out to Haas Corp of Canada (Truck Plant)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Haas Corp of Canada (Truck Plant)'s water treatment needs. I'd love to schedule a brief call to learn more about your operations and share how we've helped similar Automotive companies achieve their water quality and sustainability goals. Would you have some time this week or next to connect?</v>
      </c>
    </row>
    <row r="306" spans="1:5" hidden="1" x14ac:dyDescent="0.25">
      <c r="A306" s="4" t="s">
        <v>429</v>
      </c>
      <c r="B306" s="4" t="s">
        <v>682</v>
      </c>
      <c r="C306" s="4"/>
      <c r="D306" s="4" t="s">
        <v>198</v>
      </c>
      <c r="E306" s="49" t="str">
        <f t="shared" si="4"/>
        <v>Hello, my name is Rob Lee from Eclipsewater Technology and Services. I'm reaching out to Haas Corp of Canada (Tri-link Plant)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Haas Corp of Canada (Tri-link Plant)'s water treatment needs. I'd love to schedule a brief call to learn more about your operations and share how we've helped similar Automotive companies achieve their water quality and sustainability goals. Would you have some time this week or next to connect?</v>
      </c>
    </row>
    <row r="307" spans="1:5" hidden="1" x14ac:dyDescent="0.25">
      <c r="A307" s="4" t="s">
        <v>582</v>
      </c>
      <c r="B307" s="4" t="s">
        <v>682</v>
      </c>
      <c r="C307" s="4"/>
      <c r="D307" s="4" t="s">
        <v>198</v>
      </c>
      <c r="E307" s="49" t="str">
        <f t="shared" si="4"/>
        <v>Hello, my name is Rob Lee from Eclipsewater Technology and Services. I'm reaching out to Haas Corp of Canada (S Power House)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Haas Corp of Canada (S Power House)'s water treatment needs. I'd love to schedule a brief call to learn more about your operations and share how we've helped similar Automotive companies achieve their water quality and sustainability goals. Would you have some time this week or next to connect?</v>
      </c>
    </row>
    <row r="308" spans="1:5" hidden="1" x14ac:dyDescent="0.25">
      <c r="A308" s="4" t="s">
        <v>259</v>
      </c>
      <c r="B308" s="4" t="s">
        <v>685</v>
      </c>
      <c r="C308" s="4"/>
      <c r="D308" s="4" t="s">
        <v>198</v>
      </c>
      <c r="E308" s="49" t="str">
        <f t="shared" si="4"/>
        <v>Hello, my name is Rob Lee from Eclipsewater Technology and Services. I'm reaching out to Haas Corp of Canada (North WWT)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Haas Corp of Canada (North WWT)'s water treatment needs. I'd love to schedule a brief call to learn more about your operations and share how we've helped similar Retail companies achieve their water quality and sustainability goals. Would you have some time this week or next to connect?</v>
      </c>
    </row>
    <row r="309" spans="1:5" hidden="1" x14ac:dyDescent="0.25">
      <c r="A309" s="4" t="s">
        <v>196</v>
      </c>
      <c r="B309" s="4" t="s">
        <v>682</v>
      </c>
      <c r="C309" s="4"/>
      <c r="D309" s="4" t="s">
        <v>425</v>
      </c>
      <c r="E309" s="49" t="str">
        <f t="shared" si="4"/>
        <v>Hello, my name is Rob Lee from Eclipsewater Technology and Services. I'm reaching out to Haas Corp of Canada (Dana Corp)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Haas Corp of Canada (Dana Corp)'s water treatment needs. I'd love to schedule a brief call to learn more about your operations and share how we've helped similar Automotive companies achieve their water quality and sustainability goals. Would you have some time this week or next to connect?</v>
      </c>
    </row>
    <row r="310" spans="1:5" hidden="1" x14ac:dyDescent="0.25">
      <c r="A310" s="29" t="s">
        <v>448</v>
      </c>
      <c r="B310" s="4" t="s">
        <v>685</v>
      </c>
      <c r="C310" s="36"/>
      <c r="D310" s="29" t="s">
        <v>217</v>
      </c>
      <c r="E310" s="49" t="str">
        <f t="shared" si="4"/>
        <v>Hello, my name is Rob Lee from Eclipsewater Technology and Services. I'm reaching out to GR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GR Pools's water treatment needs. I'd love to schedule a brief call to learn more about your operations and share how we've helped similar Retail companies achieve their water quality and sustainability goals. Would you have some time this week or next to connect?</v>
      </c>
    </row>
    <row r="311" spans="1:5" hidden="1" x14ac:dyDescent="0.25">
      <c r="A311" s="29" t="s">
        <v>131</v>
      </c>
      <c r="B311" s="4" t="s">
        <v>685</v>
      </c>
      <c r="C311" s="36"/>
      <c r="D311" s="29" t="s">
        <v>425</v>
      </c>
      <c r="E311" s="49" t="str">
        <f t="shared" si="4"/>
        <v>Hello, my name is Rob Lee from Eclipsewater Technology and Services. I'm reaching out to Georgia Pacfic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Georgia Pacfic's water treatment needs. I'd love to schedule a brief call to learn more about your operations and share how we've helped similar Retail companies achieve their water quality and sustainability goals. Would you have some time this week or next to connect?</v>
      </c>
    </row>
    <row r="312" spans="1:5" hidden="1" x14ac:dyDescent="0.25">
      <c r="A312" s="4" t="s">
        <v>19</v>
      </c>
      <c r="B312" s="4" t="s">
        <v>682</v>
      </c>
      <c r="C312" s="4"/>
      <c r="D312" s="4" t="s">
        <v>43</v>
      </c>
      <c r="E312" s="49" t="str">
        <f t="shared" si="4"/>
        <v>Hello, my name is Rob Lee from Eclipsewater Technology and Services. I'm reaching out to GE BetzCanada (International Truck)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GE BetzCanada (International Truck)'s water treatment needs. I'd love to schedule a brief call to learn more about your operations and share how we've helped similar Automotive companies achieve their water quality and sustainability goals. Would you have some time this week or next to connect?</v>
      </c>
    </row>
    <row r="313" spans="1:5" hidden="1" x14ac:dyDescent="0.25">
      <c r="A313" s="4" t="s">
        <v>18</v>
      </c>
      <c r="B313" s="4" t="s">
        <v>682</v>
      </c>
      <c r="C313" s="4"/>
      <c r="D313" s="4" t="s">
        <v>513</v>
      </c>
      <c r="E313" s="49" t="str">
        <f t="shared" si="4"/>
        <v>Hello, my name is Rob Lee from Eclipsewater Technology and Services. I'm reaching out to GE BetzCanada (Daimler Chrysler)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GE BetzCanada (Daimler Chrysler)'s water treatment needs. I'd love to schedule a brief call to learn more about your operations and share how we've helped similar Automotive companies achieve their water quality and sustainability goals. Would you have some time this week or next to connect?</v>
      </c>
    </row>
    <row r="314" spans="1:5" hidden="1" x14ac:dyDescent="0.25">
      <c r="A314" s="4" t="s">
        <v>615</v>
      </c>
      <c r="B314" s="4" t="s">
        <v>685</v>
      </c>
      <c r="C314" s="4"/>
      <c r="D314" s="4" t="s">
        <v>401</v>
      </c>
      <c r="E314" s="49" t="str">
        <f t="shared" si="4"/>
        <v>Hello, my name is Rob Lee from Eclipsewater Technology and Services. I'm reaching out to Gary's Sports &amp; Bait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Gary's Sports &amp; Bait's water treatment needs. I'd love to schedule a brief call to learn more about your operations and share how we've helped similar Retail companies achieve their water quality and sustainability goals. Would you have some time this week or next to connect?</v>
      </c>
    </row>
    <row r="315" spans="1:5" hidden="1" x14ac:dyDescent="0.25">
      <c r="A315" s="4" t="s">
        <v>613</v>
      </c>
      <c r="B315" s="4" t="s">
        <v>685</v>
      </c>
      <c r="C315" s="4"/>
      <c r="D315" s="4" t="s">
        <v>614</v>
      </c>
      <c r="E315" s="49" t="str">
        <f t="shared" si="4"/>
        <v>Hello, my name is Rob Lee from Eclipsewater Technology and Services. I'm reaching out to Foster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Foster Pools's water treatment needs. I'd love to schedule a brief call to learn more about your operations and share how we've helped similar Retail companies achieve their water quality and sustainability goals. Would you have some time this week or next to connect?</v>
      </c>
    </row>
    <row r="316" spans="1:5" hidden="1" x14ac:dyDescent="0.25">
      <c r="A316" s="4" t="s">
        <v>15</v>
      </c>
      <c r="B316" s="4" t="s">
        <v>685</v>
      </c>
      <c r="C316" s="4"/>
      <c r="D316" s="4" t="s">
        <v>268</v>
      </c>
      <c r="E316" s="49" t="str">
        <f t="shared" si="4"/>
        <v>Hello, my name is Rob Lee from Eclipsewater Technology and Services. I'm reaching out to Flexo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Flexo's water treatment needs. I'd love to schedule a brief call to learn more about your operations and share how we've helped similar Retail companies achieve their water quality and sustainability goals. Would you have some time this week or next to connect?</v>
      </c>
    </row>
    <row r="317" spans="1:5" hidden="1" x14ac:dyDescent="0.25">
      <c r="A317" s="4" t="s">
        <v>611</v>
      </c>
      <c r="B317" s="4" t="s">
        <v>685</v>
      </c>
      <c r="C317" s="4"/>
      <c r="D317" s="4" t="s">
        <v>612</v>
      </c>
      <c r="E317" s="49" t="str">
        <f t="shared" si="4"/>
        <v>Hello, my name is Rob Lee from Eclipsewater Technology and Services. I'm reaching out to Ewing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Ewing Pools's water treatment needs. I'd love to schedule a brief call to learn more about your operations and share how we've helped similar Retail companies achieve their water quality and sustainability goals. Would you have some time this week or next to connect?</v>
      </c>
    </row>
    <row r="318" spans="1:5" hidden="1" x14ac:dyDescent="0.25">
      <c r="A318" s="4" t="s">
        <v>160</v>
      </c>
      <c r="B318" s="4" t="s">
        <v>685</v>
      </c>
      <c r="C318" s="4"/>
      <c r="D318" s="4" t="s">
        <v>475</v>
      </c>
      <c r="E318" s="49" t="str">
        <f t="shared" si="4"/>
        <v>Hello, my name is Rob Lee from Eclipsewater Technology and Services. I'm reaching out to Durez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Durez's water treatment needs. I'd love to schedule a brief call to learn more about your operations and share how we've helped similar Retail companies achieve their water quality and sustainability goals. Would you have some time this week or next to connect?</v>
      </c>
    </row>
    <row r="319" spans="1:5" hidden="1" x14ac:dyDescent="0.25">
      <c r="A319" s="4" t="s">
        <v>275</v>
      </c>
      <c r="B319" s="4" t="s">
        <v>685</v>
      </c>
      <c r="C319" s="4"/>
      <c r="D319" s="4" t="s">
        <v>276</v>
      </c>
      <c r="E319" s="49" t="str">
        <f t="shared" si="4"/>
        <v>Hello, my name is Rob Lee from Eclipsewater Technology and Services. I'm reaching out to DownRiver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DownRiver Pools's water treatment needs. I'd love to schedule a brief call to learn more about your operations and share how we've helped similar Retail companies achieve their water quality and sustainability goals. Would you have some time this week or next to connect?</v>
      </c>
    </row>
    <row r="320" spans="1:5" hidden="1" x14ac:dyDescent="0.25">
      <c r="A320" s="4" t="s">
        <v>551</v>
      </c>
      <c r="B320" s="4" t="s">
        <v>682</v>
      </c>
      <c r="C320" s="4"/>
      <c r="D320" s="4" t="s">
        <v>210</v>
      </c>
      <c r="E320" s="49" t="str">
        <f t="shared" si="4"/>
        <v>Hello, my name is Rob Lee from Eclipsewater Technology and Services. I'm reaching out to Double B Automotive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Double B Automotive's water treatment needs. I'd love to schedule a brief call to learn more about your operations and share how we've helped similar Automotive companies achieve their water quality and sustainability goals. Would you have some time this week or next to connect?</v>
      </c>
    </row>
    <row r="321" spans="1:5" hidden="1" x14ac:dyDescent="0.25">
      <c r="A321" s="4" t="s">
        <v>274</v>
      </c>
      <c r="B321" s="4" t="s">
        <v>685</v>
      </c>
      <c r="C321" s="4"/>
      <c r="D321" s="4" t="s">
        <v>268</v>
      </c>
      <c r="E321" s="49" t="str">
        <f t="shared" ref="E321:E372" si="5">IF(A321="","","Hello, my name is Rob Lee from Eclipsewater Technology and Services. I'm reaching out to "&amp;A321&amp;" because we specialize in providing industrial water treatment solutions for companies in the "&amp;B321&amp;" sector"&amp;IF(C321&lt;&gt;"", ", particularly those in the "&amp;C321&amp;" industry.", ".")&amp;_xlfn._LONGTEXT(" Whether you're looking to optimize your current water treatment processes, planning for future facility upgrades, or simply exploring options for an additional supplier to ensure supply chain resilience, we would welcome the opportunity to discuss how Ec","lipsewater can support ")&amp;A321&amp;"'s water treatment needs. I'd love to schedule a brief call to learn more about your operations and share how we've helped similar "&amp;B321&amp;" companies achieve their water quality and sustainability goals. Would you have some time this week or next to connect?")</f>
        <v>Hello, my name is Rob Lee from Eclipsewater Technology and Services. I'm reaching out to Done-Rite Pools &amp; Spas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Done-Rite Pools &amp; Spas's water treatment needs. I'd love to schedule a brief call to learn more about your operations and share how we've helped similar Retail companies achieve their water quality and sustainability goals. Would you have some time this week or next to connect?</v>
      </c>
    </row>
    <row r="322" spans="1:5" hidden="1" x14ac:dyDescent="0.25">
      <c r="A322" s="4" t="s">
        <v>549</v>
      </c>
      <c r="B322" s="4" t="s">
        <v>682</v>
      </c>
      <c r="C322" s="4"/>
      <c r="D322" s="4" t="s">
        <v>209</v>
      </c>
      <c r="E322" s="49" t="str">
        <f t="shared" si="5"/>
        <v>Hello, my name is Rob Lee from Eclipsewater Technology and Services. I'm reaching out to Dodge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Dodge's water treatment needs. I'd love to schedule a brief call to learn more about your operations and share how we've helped similar Automotive companies achieve their water quality and sustainability goals. Would you have some time this week or next to connect?</v>
      </c>
    </row>
    <row r="323" spans="1:5" hidden="1" x14ac:dyDescent="0.25">
      <c r="A323" s="4" t="s">
        <v>272</v>
      </c>
      <c r="B323" s="4" t="s">
        <v>685</v>
      </c>
      <c r="C323" s="4"/>
      <c r="D323" s="4" t="s">
        <v>273</v>
      </c>
      <c r="E323" s="49" t="str">
        <f t="shared" si="5"/>
        <v>Hello, my name is Rob Lee from Eclipsewater Technology and Services. I'm reaching out to Diplomat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Diplomat Pools's water treatment needs. I'd love to schedule a brief call to learn more about your operations and share how we've helped similar Retail companies achieve their water quality and sustainability goals. Would you have some time this week or next to connect?</v>
      </c>
    </row>
    <row r="324" spans="1:5" hidden="1" x14ac:dyDescent="0.25">
      <c r="A324" s="4" t="s">
        <v>424</v>
      </c>
      <c r="B324" s="4" t="s">
        <v>682</v>
      </c>
      <c r="C324" s="4"/>
      <c r="D324" s="4" t="s">
        <v>425</v>
      </c>
      <c r="E324" s="49" t="str">
        <f t="shared" si="5"/>
        <v>Hello, my name is Rob Lee from Eclipsewater Technology and Services. I'm reaching out to Dana Canada Inc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Dana Canada Inc's water treatment needs. I'd love to schedule a brief call to learn more about your operations and share how we've helped similar Automotive companies achieve their water quality and sustainability goals. Would you have some time this week or next to connect?</v>
      </c>
    </row>
    <row r="325" spans="1:5" hidden="1" x14ac:dyDescent="0.25">
      <c r="A325" s="4" t="s">
        <v>271</v>
      </c>
      <c r="B325" s="4" t="s">
        <v>685</v>
      </c>
      <c r="C325" s="4"/>
      <c r="D325" s="4" t="s">
        <v>216</v>
      </c>
      <c r="E325" s="49" t="str">
        <f t="shared" si="5"/>
        <v>Hello, my name is Rob Lee from Eclipsewater Technology and Services. I'm reaching out to D J Recreational Products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D J Recreational Products's water treatment needs. I'd love to schedule a brief call to learn more about your operations and share how we've helped similar Retail companies achieve their water quality and sustainability goals. Would you have some time this week or next to connect?</v>
      </c>
    </row>
    <row r="326" spans="1:5" hidden="1" x14ac:dyDescent="0.25">
      <c r="A326" s="4" t="s">
        <v>44</v>
      </c>
      <c r="B326" s="4" t="s">
        <v>685</v>
      </c>
      <c r="C326" s="4"/>
      <c r="D326" s="4" t="s">
        <v>45</v>
      </c>
      <c r="E326" s="49" t="str">
        <f t="shared" si="5"/>
        <v>Hello, my name is Rob Lee from Eclipsewater Technology and Services. I'm reaching out to Crystal Clear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Crystal Clear Pools's water treatment needs. I'd love to schedule a brief call to learn more about your operations and share how we've helped similar Retail companies achieve their water quality and sustainability goals. Would you have some time this week or next to connect?</v>
      </c>
    </row>
    <row r="327" spans="1:5" hidden="1" x14ac:dyDescent="0.25">
      <c r="A327" s="4" t="s">
        <v>54</v>
      </c>
      <c r="B327" s="4" t="s">
        <v>685</v>
      </c>
      <c r="C327" s="4"/>
      <c r="D327" s="4" t="s">
        <v>43</v>
      </c>
      <c r="E327" s="49" t="str">
        <f t="shared" si="5"/>
        <v>Hello, my name is Rob Lee from Eclipsewater Technology and Services. I'm reaching out to Creative Pools &amp; Tanning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Creative Pools &amp; Tanning Ltd's water treatment needs. I'd love to schedule a brief call to learn more about your operations and share how we've helped similar Retail companies achieve their water quality and sustainability goals. Would you have some time this week or next to connect?</v>
      </c>
    </row>
    <row r="328" spans="1:5" hidden="1" x14ac:dyDescent="0.25">
      <c r="A328" s="4" t="s">
        <v>542</v>
      </c>
      <c r="B328" s="4" t="s">
        <v>685</v>
      </c>
      <c r="C328" s="4"/>
      <c r="D328" s="4" t="s">
        <v>543</v>
      </c>
      <c r="E328" s="49" t="str">
        <f t="shared" si="5"/>
        <v>Hello, my name is Rob Lee from Eclipsewater Technology and Services. I'm reaching out to Country Pools &amp; Spas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Country Pools &amp; Spas's water treatment needs. I'd love to schedule a brief call to learn more about your operations and share how we've helped similar Retail companies achieve their water quality and sustainability goals. Would you have some time this week or next to connect?</v>
      </c>
    </row>
    <row r="329" spans="1:5" hidden="1" x14ac:dyDescent="0.25">
      <c r="A329" s="4" t="s">
        <v>523</v>
      </c>
      <c r="B329" s="4" t="s">
        <v>685</v>
      </c>
      <c r="C329" s="4"/>
      <c r="D329" s="4" t="s">
        <v>130</v>
      </c>
      <c r="E329" s="49" t="str">
        <f t="shared" si="5"/>
        <v>Hello, my name is Rob Lee from Eclipsewater Technology and Services. I'm reaching out to Colonial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Colonial Pools's water treatment needs. I'd love to schedule a brief call to learn more about your operations and share how we've helped similar Retail companies achieve their water quality and sustainability goals. Would you have some time this week or next to connect?</v>
      </c>
    </row>
    <row r="330" spans="1:5" hidden="1" x14ac:dyDescent="0.25">
      <c r="A330" s="4" t="s">
        <v>360</v>
      </c>
      <c r="B330" s="4" t="s">
        <v>685</v>
      </c>
      <c r="C330" s="4"/>
      <c r="D330" s="4" t="s">
        <v>255</v>
      </c>
      <c r="E330" s="49" t="str">
        <f t="shared" si="5"/>
        <v>Hello, my name is Rob Lee from Eclipsewater Technology and Services. I'm reaching out to Clear Choice Pool &amp; Spa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Clear Choice Pool &amp; Spa's water treatment needs. I'd love to schedule a brief call to learn more about your operations and share how we've helped similar Retail companies achieve their water quality and sustainability goals. Would you have some time this week or next to connect?</v>
      </c>
    </row>
    <row r="331" spans="1:5" hidden="1" x14ac:dyDescent="0.25">
      <c r="A331" s="4" t="s">
        <v>446</v>
      </c>
      <c r="B331" s="4" t="s">
        <v>684</v>
      </c>
      <c r="C331" s="4"/>
      <c r="D331" s="4" t="s">
        <v>595</v>
      </c>
      <c r="E331" s="49" t="str">
        <f t="shared" si="5"/>
        <v>Hello, my name is Rob Lee from Eclipsewater Technology and Services. I'm reaching out to City of Toronto (Harris Filtration Plant)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Toronto (Harris Filtration Plant)'s water treatment needs. I'd love to schedule a brief call to learn more about your operations and share how we've helped similar Municipal companies achieve their water quality and sustainability goals. Would you have some time this week or next to connect?</v>
      </c>
    </row>
    <row r="332" spans="1:5" hidden="1" x14ac:dyDescent="0.25">
      <c r="A332" s="4" t="s">
        <v>528</v>
      </c>
      <c r="B332" s="4" t="s">
        <v>684</v>
      </c>
      <c r="C332" s="4"/>
      <c r="D332" s="4" t="s">
        <v>595</v>
      </c>
      <c r="E332" s="49" t="str">
        <f t="shared" si="5"/>
        <v>Hello, my name is Rob Lee from Eclipsewater Technology and Services. I'm reaching out to City of Toronto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Toronto's water treatment needs. I'd love to schedule a brief call to learn more about your operations and share how we've helped similar Municipal companies achieve their water quality and sustainability goals. Would you have some time this week or next to connect?</v>
      </c>
    </row>
    <row r="333" spans="1:5" hidden="1" x14ac:dyDescent="0.25">
      <c r="A333" s="4" t="s">
        <v>562</v>
      </c>
      <c r="B333" s="4" t="s">
        <v>684</v>
      </c>
      <c r="C333" s="4"/>
      <c r="D333" s="4" t="s">
        <v>563</v>
      </c>
      <c r="E333" s="49" t="str">
        <f t="shared" si="5"/>
        <v>Hello, my name is Rob Lee from Eclipsewater Technology and Services. I'm reaching out to City of Peterborough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Peterborough's water treatment needs. I'd love to schedule a brief call to learn more about your operations and share how we've helped similar Municipal companies achieve their water quality and sustainability goals. Would you have some time this week or next to connect?</v>
      </c>
    </row>
    <row r="334" spans="1:5" hidden="1" x14ac:dyDescent="0.25">
      <c r="A334" s="4" t="s">
        <v>202</v>
      </c>
      <c r="B334" s="4" t="s">
        <v>684</v>
      </c>
      <c r="C334" s="4"/>
      <c r="D334" s="4" t="s">
        <v>210</v>
      </c>
      <c r="E334" s="49" t="str">
        <f t="shared" si="5"/>
        <v>Hello, my name is Rob Lee from Eclipsewater Technology and Services. I'm reaching out to City of Burlington (Tansley Woods - indoor)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Burlington (Tansley Woods - indoor)'s water treatment needs. I'd love to schedule a brief call to learn more about your operations and share how we've helped similar Municipal companies achieve their water quality and sustainability goals. Would you have some time this week or next to connect?</v>
      </c>
    </row>
    <row r="335" spans="1:5" hidden="1" x14ac:dyDescent="0.25">
      <c r="A335" s="4" t="s">
        <v>206</v>
      </c>
      <c r="B335" s="4" t="s">
        <v>684</v>
      </c>
      <c r="C335" s="4"/>
      <c r="D335" s="4" t="s">
        <v>210</v>
      </c>
      <c r="E335" s="49" t="str">
        <f t="shared" si="5"/>
        <v>Hello, my name is Rob Lee from Eclipsewater Technology and Services. I'm reaching out to City of Burlington (Nelson Pool - outdoor)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Burlington (Nelson Pool - outdoor)'s water treatment needs. I'd love to schedule a brief call to learn more about your operations and share how we've helped similar Municipal companies achieve their water quality and sustainability goals. Would you have some time this week or next to connect?</v>
      </c>
    </row>
    <row r="336" spans="1:5" hidden="1" x14ac:dyDescent="0.25">
      <c r="A336" s="4" t="s">
        <v>207</v>
      </c>
      <c r="B336" s="4" t="s">
        <v>684</v>
      </c>
      <c r="C336" s="4"/>
      <c r="D336" s="4" t="s">
        <v>210</v>
      </c>
      <c r="E336" s="49" t="str">
        <f t="shared" si="5"/>
        <v>Hello, my name is Rob Lee from Eclipsewater Technology and Services. I'm reaching out to City of Burlington (Mountainside - outdoor)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Burlington (Mountainside - outdoor)'s water treatment needs. I'd love to schedule a brief call to learn more about your operations and share how we've helped similar Municipal companies achieve their water quality and sustainability goals. Would you have some time this week or next to connect?</v>
      </c>
    </row>
    <row r="337" spans="1:5" hidden="1" x14ac:dyDescent="0.25">
      <c r="A337" s="4" t="s">
        <v>205</v>
      </c>
      <c r="B337" s="4" t="s">
        <v>684</v>
      </c>
      <c r="C337" s="4"/>
      <c r="D337" s="4" t="s">
        <v>210</v>
      </c>
      <c r="E337" s="49" t="str">
        <f t="shared" si="5"/>
        <v>Hello, my name is Rob Lee from Eclipsewater Technology and Services. I'm reaching out to City of Burlington (Coughlan - inddor)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Burlington (Coughlan - inddor)'s water treatment needs. I'd love to schedule a brief call to learn more about your operations and share how we've helped similar Municipal companies achieve their water quality and sustainability goals. Would you have some time this week or next to connect?</v>
      </c>
    </row>
    <row r="338" spans="1:5" hidden="1" x14ac:dyDescent="0.25">
      <c r="A338" s="4" t="s">
        <v>204</v>
      </c>
      <c r="B338" s="4" t="s">
        <v>684</v>
      </c>
      <c r="C338" s="4"/>
      <c r="D338" s="4" t="s">
        <v>210</v>
      </c>
      <c r="E338" s="49" t="str">
        <f t="shared" si="5"/>
        <v>Hello, my name is Rob Lee from Eclipsewater Technology and Services. I'm reaching out to City of Burlington (Centennial - indoor)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Burlington (Centennial - indoor)'s water treatment needs. I'd love to schedule a brief call to learn more about your operations and share how we've helped similar Municipal companies achieve their water quality and sustainability goals. Would you have some time this week or next to connect?</v>
      </c>
    </row>
    <row r="339" spans="1:5" hidden="1" x14ac:dyDescent="0.25">
      <c r="A339" s="4" t="s">
        <v>203</v>
      </c>
      <c r="B339" s="4" t="s">
        <v>684</v>
      </c>
      <c r="C339" s="4"/>
      <c r="D339" s="4" t="s">
        <v>210</v>
      </c>
      <c r="E339" s="49" t="str">
        <f t="shared" si="5"/>
        <v>Hello, my name is Rob Lee from Eclipsewater Technology and Services. I'm reaching out to City of Burlington (Aldershot - indoor)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Burlington (Aldershot - indoor)'s water treatment needs. I'd love to schedule a brief call to learn more about your operations and share how we've helped similar Municipal companies achieve their water quality and sustainability goals. Would you have some time this week or next to connect?</v>
      </c>
    </row>
    <row r="340" spans="1:5" hidden="1" x14ac:dyDescent="0.25">
      <c r="A340" s="29" t="s">
        <v>473</v>
      </c>
      <c r="B340" s="4" t="s">
        <v>684</v>
      </c>
      <c r="C340" s="36"/>
      <c r="D340" s="29" t="s">
        <v>216</v>
      </c>
      <c r="E340" s="49" t="str">
        <f t="shared" si="5"/>
        <v>Hello, my name is Rob Lee from Eclipsewater Technology and Services. I'm reaching out to City of Brantford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City of Brantford's water treatment needs. I'd love to schedule a brief call to learn more about your operations and share how we've helped similar Municipal companies achieve their water quality and sustainability goals. Would you have some time this week or next to connect?</v>
      </c>
    </row>
    <row r="341" spans="1:5" hidden="1" x14ac:dyDescent="0.25">
      <c r="A341" s="4" t="s">
        <v>42</v>
      </c>
      <c r="B341" s="4" t="s">
        <v>685</v>
      </c>
      <c r="C341" s="4"/>
      <c r="D341" s="4" t="s">
        <v>157</v>
      </c>
      <c r="E341" s="49" t="str">
        <f t="shared" si="5"/>
        <v>Hello, my name is Rob Lee from Eclipsewater Technology and Services. I'm reaching out to Christal Pools&amp; Spas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Christal Pools&amp; Spas's water treatment needs. I'd love to schedule a brief call to learn more about your operations and share how we've helped similar Retail companies achieve their water quality and sustainability goals. Would you have some time this week or next to connect?</v>
      </c>
    </row>
    <row r="342" spans="1:5" hidden="1" x14ac:dyDescent="0.25">
      <c r="A342" s="4" t="s">
        <v>483</v>
      </c>
      <c r="B342" s="4" t="s">
        <v>682</v>
      </c>
      <c r="C342" s="4"/>
      <c r="D342" s="4" t="s">
        <v>363</v>
      </c>
      <c r="E342" s="49" t="str">
        <f t="shared" si="5"/>
        <v>Hello, my name is Rob Lee from Eclipsewater Technology and Services. I'm reaching out to Chemfil (Torcad)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(Torcad)'s water treatment needs. I'd love to schedule a brief call to learn more about your operations and share how we've helped similar Automotive companies achieve their water quality and sustainability goals. Would you have some time this week or next to connect?</v>
      </c>
    </row>
    <row r="343" spans="1:5" hidden="1" x14ac:dyDescent="0.25">
      <c r="A343" s="4" t="s">
        <v>479</v>
      </c>
      <c r="B343" s="4" t="s">
        <v>682</v>
      </c>
      <c r="C343" s="4"/>
      <c r="D343" s="4" t="s">
        <v>94</v>
      </c>
      <c r="E343" s="49" t="str">
        <f t="shared" si="5"/>
        <v>Hello, my name is Rob Lee from Eclipsewater Technology and Services. I'm reaching out to Chemfil (Modatek Systems - Milton)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(Modatek Systems - Milton)'s water treatment needs. I'd love to schedule a brief call to learn more about your operations and share how we've helped similar Automotive companies achieve their water quality and sustainability goals. Would you have some time this week or next to connect?</v>
      </c>
    </row>
    <row r="344" spans="1:5" hidden="1" x14ac:dyDescent="0.25">
      <c r="A344" s="4" t="s">
        <v>478</v>
      </c>
      <c r="B344" s="4" t="s">
        <v>682</v>
      </c>
      <c r="C344" s="4"/>
      <c r="D344" s="4" t="s">
        <v>543</v>
      </c>
      <c r="E344" s="49" t="str">
        <f t="shared" si="5"/>
        <v>Hello, my name is Rob Lee from Eclipsewater Technology and Services. I'm reaching out to Chemfil (Ford - St Thomas)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(Ford - St Thomas)'s water treatment needs. I'd love to schedule a brief call to learn more about your operations and share how we've helped similar Automotive companies achieve their water quality and sustainability goals. Would you have some time this week or next to connect?</v>
      </c>
    </row>
    <row r="345" spans="1:5" hidden="1" x14ac:dyDescent="0.25">
      <c r="A345" s="4" t="s">
        <v>477</v>
      </c>
      <c r="B345" s="4" t="s">
        <v>682</v>
      </c>
      <c r="C345" s="4"/>
      <c r="D345" s="4" t="s">
        <v>553</v>
      </c>
      <c r="E345" s="49" t="str">
        <f t="shared" si="5"/>
        <v>Hello, my name is Rob Lee from Eclipsewater Technology and Services. I'm reaching out to Chemfil (Ford - Oakville)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(Ford - Oakville)'s water treatment needs. I'd love to schedule a brief call to learn more about your operations and share how we've helped similar Automotive companies achieve their water quality and sustainability goals. Would you have some time this week or next to connect?</v>
      </c>
    </row>
    <row r="346" spans="1:5" hidden="1" x14ac:dyDescent="0.25">
      <c r="A346" s="4" t="s">
        <v>476</v>
      </c>
      <c r="B346" s="4" t="s">
        <v>682</v>
      </c>
      <c r="C346" s="4"/>
      <c r="D346" s="4" t="s">
        <v>513</v>
      </c>
      <c r="E346" s="49" t="str">
        <f t="shared" si="5"/>
        <v>Hello, my name is Rob Lee from Eclipsewater Technology and Services. I'm reaching out to Chemfil (Damiler/Chrysler Windsor)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(Damiler/Chrysler Windsor)'s water treatment needs. I'd love to schedule a brief call to learn more about your operations and share how we've helped similar Automotive companies achieve their water quality and sustainability goals. Would you have some time this week or next to connect?</v>
      </c>
    </row>
    <row r="347" spans="1:5" hidden="1" x14ac:dyDescent="0.25">
      <c r="A347" s="4" t="s">
        <v>487</v>
      </c>
      <c r="B347" s="4" t="s">
        <v>682</v>
      </c>
      <c r="C347" s="4"/>
      <c r="D347" s="4" t="s">
        <v>513</v>
      </c>
      <c r="E347" s="49" t="str">
        <f t="shared" si="5"/>
        <v>Hello, my name is Rob Lee from Eclipsewater Technology and Services. I'm reaching out to Chemfil (Chrysler Windsor)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(Chrysler Windsor)'s water treatment needs. I'd love to schedule a brief call to learn more about your operations and share how we've helped similar Automotive companies achieve their water quality and sustainability goals. Would you have some time this week or next to connect?</v>
      </c>
    </row>
    <row r="348" spans="1:5" hidden="1" x14ac:dyDescent="0.25">
      <c r="A348" s="4" t="s">
        <v>390</v>
      </c>
      <c r="B348" s="4" t="s">
        <v>682</v>
      </c>
      <c r="C348" s="4"/>
      <c r="D348" s="4" t="s">
        <v>513</v>
      </c>
      <c r="E348" s="49" t="str">
        <f t="shared" si="5"/>
        <v>Hello, my name is Rob Lee from Eclipsewater Technology and Services. I'm reaching out to Chemfil (Chrysler Windsor WWTP)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(Chrysler Windsor WWTP)'s water treatment needs. I'd love to schedule a brief call to learn more about your operations and share how we've helped similar Automotive companies achieve their water quality and sustainability goals. Would you have some time this week or next to connect?</v>
      </c>
    </row>
    <row r="349" spans="1:5" hidden="1" x14ac:dyDescent="0.25">
      <c r="A349" s="4" t="s">
        <v>484</v>
      </c>
      <c r="B349" s="4" t="s">
        <v>685</v>
      </c>
      <c r="C349" s="4"/>
      <c r="D349" s="4" t="s">
        <v>240</v>
      </c>
      <c r="E349" s="49" t="str">
        <f t="shared" si="5"/>
        <v>Hello, my name is Rob Lee from Eclipsewater Technology and Services. I'm reaching out to Chemfil (Chrysler Bramalea)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(Chrysler Bramalea)'s water treatment needs. I'd love to schedule a brief call to learn more about your operations and share how we've helped similar Retail companies achieve their water quality and sustainability goals. Would you have some time this week or next to connect?</v>
      </c>
    </row>
    <row r="350" spans="1:5" hidden="1" x14ac:dyDescent="0.25">
      <c r="A350" s="4" t="s">
        <v>486</v>
      </c>
      <c r="B350" s="4" t="s">
        <v>682</v>
      </c>
      <c r="C350" s="4"/>
      <c r="D350" s="4" t="s">
        <v>240</v>
      </c>
      <c r="E350" s="49" t="str">
        <f t="shared" si="5"/>
        <v>Hello, my name is Rob Lee from Eclipsewater Technology and Services. I'm reaching out to Chemfil (Chrysler Bramalea - WW)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(Chrysler Bramalea - WW)'s water treatment needs. I'd love to schedule a brief call to learn more about your operations and share how we've helped similar Automotive companies achieve their water quality and sustainability goals. Would you have some time this week or next to connect?</v>
      </c>
    </row>
    <row r="351" spans="1:5" hidden="1" x14ac:dyDescent="0.25">
      <c r="A351" s="4" t="s">
        <v>485</v>
      </c>
      <c r="B351" s="4" t="s">
        <v>682</v>
      </c>
      <c r="C351" s="4"/>
      <c r="D351" s="4" t="s">
        <v>240</v>
      </c>
      <c r="E351" s="49" t="str">
        <f t="shared" si="5"/>
        <v>Hello, my name is Rob Lee from Eclipsewater Technology and Services. I'm reaching out to Chemfil (Chrysler Bramalea - Paint)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Chemfil (Chrysler Bramalea - Paint)'s water treatment needs. I'd love to schedule a brief call to learn more about your operations and share how we've helped similar Automotive companies achieve their water quality and sustainability goals. Would you have some time this week or next to connect?</v>
      </c>
    </row>
    <row r="352" spans="1:5" hidden="1" x14ac:dyDescent="0.25">
      <c r="A352" s="4" t="s">
        <v>661</v>
      </c>
      <c r="B352" s="4" t="s">
        <v>685</v>
      </c>
      <c r="C352" s="4"/>
      <c r="D352" s="4" t="s">
        <v>563</v>
      </c>
      <c r="E352" s="49" t="str">
        <f t="shared" si="5"/>
        <v>Hello, my name is Rob Lee from Eclipsewater Technology and Services. I'm reaching out to Charlotte Products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Charlotte Products's water treatment needs. I'd love to schedule a brief call to learn more about your operations and share how we've helped similar Retail companies achieve their water quality and sustainability goals. Would you have some time this week or next to connect?</v>
      </c>
    </row>
    <row r="353" spans="1:5" hidden="1" x14ac:dyDescent="0.25">
      <c r="A353" s="4" t="s">
        <v>229</v>
      </c>
      <c r="B353" s="4" t="s">
        <v>685</v>
      </c>
      <c r="C353" s="4"/>
      <c r="D353" s="4" t="s">
        <v>230</v>
      </c>
      <c r="E353" s="49" t="str">
        <f t="shared" si="5"/>
        <v>Hello, my name is Rob Lee from Eclipsewater Technology and Services. I'm reaching out to Carms Pools&amp; Spas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Carms Pools&amp; Spas's water treatment needs. I'd love to schedule a brief call to learn more about your operations and share how we've helped similar Retail companies achieve their water quality and sustainability goals. Would you have some time this week or next to connect?</v>
      </c>
    </row>
    <row r="354" spans="1:5" hidden="1" x14ac:dyDescent="0.25">
      <c r="A354" s="4" t="s">
        <v>512</v>
      </c>
      <c r="B354" s="4" t="s">
        <v>685</v>
      </c>
      <c r="C354" s="4"/>
      <c r="D354" s="4" t="s">
        <v>513</v>
      </c>
      <c r="E354" s="49" t="str">
        <f t="shared" si="5"/>
        <v>Hello, my name is Rob Lee from Eclipsewater Technology and Services. I'm reaching out to Canadian Luxury Pools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Canadian Luxury Pools Ltd's water treatment needs. I'd love to schedule a brief call to learn more about your operations and share how we've helped similar Retail companies achieve their water quality and sustainability goals. Would you have some time this week or next to connect?</v>
      </c>
    </row>
    <row r="355" spans="1:5" hidden="1" x14ac:dyDescent="0.25">
      <c r="A355" s="4" t="s">
        <v>143</v>
      </c>
      <c r="B355" s="4" t="s">
        <v>685</v>
      </c>
      <c r="C355" s="4"/>
      <c r="D355" s="4" t="s">
        <v>144</v>
      </c>
      <c r="E355" s="49" t="str">
        <f t="shared" si="5"/>
        <v>Hello, my name is Rob Lee from Eclipsewater Technology and Services. I'm reaching out to Canadian Chemical Cleaning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Canadian Chemical Cleaning's water treatment needs. I'd love to schedule a brief call to learn more about your operations and share how we've helped similar Retail companies achieve their water quality and sustainability goals. Would you have some time this week or next to connect?</v>
      </c>
    </row>
    <row r="356" spans="1:5" hidden="1" x14ac:dyDescent="0.25">
      <c r="A356" s="4" t="s">
        <v>466</v>
      </c>
      <c r="B356" s="4" t="s">
        <v>685</v>
      </c>
      <c r="C356" s="4"/>
      <c r="D356" s="4" t="s">
        <v>269</v>
      </c>
      <c r="E356" s="49" t="str">
        <f t="shared" si="5"/>
        <v>Hello, my name is Rob Lee from Eclipsewater Technology and Services. I'm reaching out to Bud's Spas &amp;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Bud's Spas &amp; Pools's water treatment needs. I'd love to schedule a brief call to learn more about your operations and share how we've helped similar Retail companies achieve their water quality and sustainability goals. Would you have some time this week or next to connect?</v>
      </c>
    </row>
    <row r="357" spans="1:5" hidden="1" x14ac:dyDescent="0.25">
      <c r="A357" s="4" t="s">
        <v>621</v>
      </c>
      <c r="B357" s="4" t="s">
        <v>684</v>
      </c>
      <c r="C357" s="4"/>
      <c r="D357" s="4" t="s">
        <v>553</v>
      </c>
      <c r="E357" s="49" t="str">
        <f t="shared" si="5"/>
        <v>Hello, my name is Rob Lee from Eclipsewater Technology and Services. I'm reaching out to Bronte Creek Prov Park (Ontario Shared Service Bureau) because we specialize in providing industrial water treatment solutions for companies in the Municipal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Bronte Creek Prov Park (Ontario Shared Service Bureau)'s water treatment needs. I'd love to schedule a brief call to learn more about your operations and share how we've helped similar Municipal companies achieve their water quality and sustainability goals. Would you have some time this week or next to connect?</v>
      </c>
    </row>
    <row r="358" spans="1:5" hidden="1" x14ac:dyDescent="0.25">
      <c r="A358" s="4" t="s">
        <v>464</v>
      </c>
      <c r="B358" s="4" t="s">
        <v>685</v>
      </c>
      <c r="C358" s="4"/>
      <c r="D358" s="4" t="s">
        <v>465</v>
      </c>
      <c r="E358" s="49" t="str">
        <f t="shared" si="5"/>
        <v>Hello, my name is Rob Lee from Eclipsewater Technology and Services. I'm reaching out to Broadbent Home Hardware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Broadbent Home Hardware's water treatment needs. I'd love to schedule a brief call to learn more about your operations and share how we've helped similar Retail companies achieve their water quality and sustainability goals. Would you have some time this week or next to connect?</v>
      </c>
    </row>
    <row r="359" spans="1:5" hidden="1" x14ac:dyDescent="0.25">
      <c r="A359" s="4" t="s">
        <v>265</v>
      </c>
      <c r="B359" s="4" t="s">
        <v>682</v>
      </c>
      <c r="C359" s="4"/>
      <c r="D359" s="4" t="s">
        <v>538</v>
      </c>
      <c r="E359" s="49" t="str">
        <f t="shared" si="5"/>
        <v>Hello, my name is Rob Lee from Eclipsewater Technology and Services. I'm reaching out to Brenntag(Ville de Que-Rue Notre Dame)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Brenntag(Ville de Que-Rue Notre Dame)'s water treatment needs. I'd love to schedule a brief call to learn more about your operations and share how we've helped similar Automotive companies achieve their water quality and sustainability goals. Would you have some time this week or next to connect?</v>
      </c>
    </row>
    <row r="360" spans="1:5" hidden="1" x14ac:dyDescent="0.25">
      <c r="A360" s="4" t="s">
        <v>264</v>
      </c>
      <c r="B360" s="4" t="s">
        <v>682</v>
      </c>
      <c r="C360" s="4"/>
      <c r="D360" s="4" t="s">
        <v>538</v>
      </c>
      <c r="E360" s="49" t="str">
        <f t="shared" si="5"/>
        <v>Hello, my name is Rob Lee from Eclipsewater Technology and Services. I'm reaching out to Brenntag(Ville de Que-La Souvcraine)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Brenntag(Ville de Que-La Souvcraine)'s water treatment needs. I'd love to schedule a brief call to learn more about your operations and share how we've helped similar Automotive companies achieve their water quality and sustainability goals. Would you have some time this week or next to connect?</v>
      </c>
    </row>
    <row r="361" spans="1:5" hidden="1" x14ac:dyDescent="0.25">
      <c r="A361" s="4" t="s">
        <v>263</v>
      </c>
      <c r="B361" s="4" t="s">
        <v>682</v>
      </c>
      <c r="C361" s="4"/>
      <c r="D361" s="4" t="s">
        <v>538</v>
      </c>
      <c r="E361" s="49" t="str">
        <f t="shared" si="5"/>
        <v>Hello, my name is Rob Lee from Eclipsewater Technology and Services. I'm reaching out to Brenntag(Ville de Que-Boul du Lac)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Brenntag(Ville de Que-Boul du Lac)'s water treatment needs. I'd love to schedule a brief call to learn more about your operations and share how we've helped similar Automotive companies achieve their water quality and sustainability goals. Would you have some time this week or next to connect?</v>
      </c>
    </row>
    <row r="362" spans="1:5" hidden="1" x14ac:dyDescent="0.25">
      <c r="A362" s="29" t="s">
        <v>256</v>
      </c>
      <c r="B362" s="4" t="s">
        <v>682</v>
      </c>
      <c r="C362" s="36"/>
      <c r="D362" s="29" t="s">
        <v>50</v>
      </c>
      <c r="E362" s="49" t="str">
        <f t="shared" si="5"/>
        <v>Hello, my name is Rob Lee from Eclipsewater Technology and Services. I'm reaching out to Borg-Warner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Borg-Warner's water treatment needs. I'd love to schedule a brief call to learn more about your operations and share how we've helped similar Automotive companies achieve their water quality and sustainability goals. Would you have some time this week or next to connect?</v>
      </c>
    </row>
    <row r="363" spans="1:5" hidden="1" x14ac:dyDescent="0.25">
      <c r="A363" s="4" t="s">
        <v>625</v>
      </c>
      <c r="B363" s="4" t="s">
        <v>685</v>
      </c>
      <c r="C363" s="4"/>
      <c r="D363" s="4" t="s">
        <v>626</v>
      </c>
      <c r="E363" s="49" t="str">
        <f t="shared" si="5"/>
        <v>Hello, my name is Rob Lee from Eclipsewater Technology and Services. I'm reaching out to Blue Oceans Pools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Blue Oceans Pools's water treatment needs. I'd love to schedule a brief call to learn more about your operations and share how we've helped similar Retail companies achieve their water quality and sustainability goals. Would you have some time this week or next to connect?</v>
      </c>
    </row>
    <row r="364" spans="1:5" hidden="1" x14ac:dyDescent="0.25">
      <c r="A364" s="29" t="s">
        <v>55</v>
      </c>
      <c r="B364" s="4" t="s">
        <v>685</v>
      </c>
      <c r="C364" s="36"/>
      <c r="D364" s="29" t="s">
        <v>50</v>
      </c>
      <c r="E364" s="49" t="str">
        <f t="shared" si="5"/>
        <v>Hello, my name is Rob Lee from Eclipsewater Technology and Services. I'm reaching out to Barry's Salt &amp; Water Conditioning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Barry's Salt &amp; Water Conditioning's water treatment needs. I'd love to schedule a brief call to learn more about your operations and share how we've helped similar Retail companies achieve their water quality and sustainability goals. Would you have some time this week or next to connect?</v>
      </c>
    </row>
    <row r="365" spans="1:5" hidden="1" x14ac:dyDescent="0.25">
      <c r="A365" s="4" t="s">
        <v>624</v>
      </c>
      <c r="B365" s="4" t="s">
        <v>685</v>
      </c>
      <c r="C365" s="4"/>
      <c r="D365" s="4" t="s">
        <v>597</v>
      </c>
      <c r="E365" s="49" t="str">
        <f t="shared" si="5"/>
        <v>Hello, my name is Rob Lee from Eclipsewater Technology and Services. I'm reaching out to Backyard Watercreations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Backyard Watercreations's water treatment needs. I'd love to schedule a brief call to learn more about your operations and share how we've helped similar Retail companies achieve their water quality and sustainability goals. Would you have some time this week or next to connect?</v>
      </c>
    </row>
    <row r="366" spans="1:5" hidden="1" x14ac:dyDescent="0.25">
      <c r="A366" s="4" t="s">
        <v>248</v>
      </c>
      <c r="B366" s="4" t="s">
        <v>685</v>
      </c>
      <c r="C366" s="4"/>
      <c r="D366" s="4" t="s">
        <v>249</v>
      </c>
      <c r="E366" s="49" t="str">
        <f t="shared" si="5"/>
        <v>Hello, my name is Rob Lee from Eclipsewater Technology and Services. I'm reaching out to Atlantis Hot Tub and Pools Centre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Atlantis Hot Tub and Pools Centre's water treatment needs. I'd love to schedule a brief call to learn more about your operations and share how we've helped similar Retail companies achieve their water quality and sustainability goals. Would you have some time this week or next to connect?</v>
      </c>
    </row>
    <row r="367" spans="1:5" hidden="1" x14ac:dyDescent="0.25">
      <c r="A367" s="4" t="s">
        <v>238</v>
      </c>
      <c r="B367" s="4" t="s">
        <v>685</v>
      </c>
      <c r="C367" s="4"/>
      <c r="D367" s="4" t="s">
        <v>553</v>
      </c>
      <c r="E367" s="49" t="str">
        <f t="shared" si="5"/>
        <v>Hello, my name is Rob Lee from Eclipsewater Technology and Services. I'm reaching out to Aquarian Chemicals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Aquarian Chemicals's water treatment needs. I'd love to schedule a brief call to learn more about your operations and share how we've helped similar Retail companies achieve their water quality and sustainability goals. Would you have some time this week or next to connect?</v>
      </c>
    </row>
    <row r="368" spans="1:5" hidden="1" x14ac:dyDescent="0.25">
      <c r="A368" s="4" t="s">
        <v>246</v>
      </c>
      <c r="B368" s="4" t="s">
        <v>685</v>
      </c>
      <c r="C368" s="4"/>
      <c r="D368" s="4" t="s">
        <v>247</v>
      </c>
      <c r="E368" s="49" t="str">
        <f t="shared" si="5"/>
        <v>Hello, my name is Rob Lee from Eclipsewater Technology and Services. I'm reaching out to Aqua Blue Pools Spas &amp; Baths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Aqua Blue Pools Spas &amp; Baths's water treatment needs. I'd love to schedule a brief call to learn more about your operations and share how we've helped similar Retail companies achieve their water quality and sustainability goals. Would you have some time this week or next to connect?</v>
      </c>
    </row>
    <row r="369" spans="1:5" hidden="1" x14ac:dyDescent="0.25">
      <c r="A369" s="4" t="s">
        <v>213</v>
      </c>
      <c r="B369" s="4" t="s">
        <v>685</v>
      </c>
      <c r="C369" s="4"/>
      <c r="D369" s="4" t="s">
        <v>214</v>
      </c>
      <c r="E369" s="49" t="str">
        <f t="shared" si="5"/>
        <v>Hello, my name is Rob Lee from Eclipsewater Technology and Services. I'm reaching out to Aqua Bay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Aqua Bay Ltd's water treatment needs. I'd love to schedule a brief call to learn more about your operations and share how we've helped similar Retail companies achieve their water quality and sustainability goals. Would you have some time this week or next to connect?</v>
      </c>
    </row>
    <row r="370" spans="1:5" hidden="1" x14ac:dyDescent="0.25">
      <c r="A370" s="4" t="s">
        <v>237</v>
      </c>
      <c r="B370" s="4" t="s">
        <v>682</v>
      </c>
      <c r="C370" s="4"/>
      <c r="D370" s="4" t="s">
        <v>209</v>
      </c>
      <c r="E370" s="49" t="str">
        <f t="shared" si="5"/>
        <v>Hello, my name is Rob Lee from Eclipsewater Technology and Services. I'm reaching out to Antomax Automotive Technologies because we specialize in providing industrial water treatment solutions for companies in the Automotive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Antomax Automotive Technologies's water treatment needs. I'd love to schedule a brief call to learn more about your operations and share how we've helped similar Automotive companies achieve their water quality and sustainability goals. Would you have some time this week or next to connect?</v>
      </c>
    </row>
    <row r="371" spans="1:5" hidden="1" x14ac:dyDescent="0.25">
      <c r="A371" s="4" t="s">
        <v>33</v>
      </c>
      <c r="B371" s="4" t="s">
        <v>685</v>
      </c>
      <c r="C371" s="4"/>
      <c r="D371" s="4" t="s">
        <v>45</v>
      </c>
      <c r="E371" s="49" t="str">
        <f t="shared" si="5"/>
        <v>Hello, my name is Rob Lee from Eclipsewater Technology and Services. I'm reaching out to Andres Wines Ltd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Andres Wines Ltd's water treatment needs. I'd love to schedule a brief call to learn more about your operations and share how we've helped similar Retail companies achieve their water quality and sustainability goals. Would you have some time this week or next to connect?</v>
      </c>
    </row>
    <row r="372" spans="1:5" hidden="1" x14ac:dyDescent="0.25">
      <c r="A372" s="29" t="s">
        <v>576</v>
      </c>
      <c r="B372" s="4" t="s">
        <v>685</v>
      </c>
      <c r="C372" s="36"/>
      <c r="D372" s="29" t="s">
        <v>623</v>
      </c>
      <c r="E372" s="49" t="str">
        <f t="shared" si="5"/>
        <v>Hello, my name is Rob Lee from Eclipsewater Technology and Services. I'm reaching out to Amco (Sun Parlour) because we specialize in providing industrial water treatment solutions for companies in the Retail sector. Whether you're looking to optimize your current water treatment processes, planning for future facility upgrades, or simply exploring options for an additional supplier to ensure supply chain resilience, we would welcome the opportunity to discuss how Eclipsewater can support Amco (Sun Parlour)'s water treatment needs. I'd love to schedule a brief call to learn more about your operations and share how we've helped similar Retail companies achieve their water quality and sustainability goals. Would you have some time this week or next to connect?</v>
      </c>
    </row>
  </sheetData>
  <sortState xmlns:xlrd2="http://schemas.microsoft.com/office/spreadsheetml/2017/richdata2" ref="A2:D390">
    <sortCondition descending="1" ref="D2:D390"/>
  </sortState>
  <phoneticPr fontId="0" type="noConversion"/>
  <pageMargins left="0.2" right="0.2" top="0.61" bottom="0.39" header="0.38" footer="0.17"/>
  <pageSetup scale="52" fitToHeight="10" orientation="landscape" r:id="rId1"/>
  <headerFooter alignWithMargins="0">
    <oddHeader>&amp;C&amp;F</oddHeader>
    <oddFooter>&amp;L&amp;BUBA Confidential&amp;B&amp;C&amp;D&amp;RPage &amp;P</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175E-FB10-47BF-A4A2-ECD9E6B32FF4}">
  <sheetPr>
    <pageSetUpPr fitToPage="1"/>
  </sheetPr>
  <dimension ref="A1:O63"/>
  <sheetViews>
    <sheetView zoomScale="75" workbookViewId="0">
      <pane ySplit="2" topLeftCell="A3" activePane="bottomLeft" state="frozen"/>
      <selection pane="bottomLeft" activeCell="A7" sqref="A7"/>
    </sheetView>
  </sheetViews>
  <sheetFormatPr defaultRowHeight="13.2" x14ac:dyDescent="0.25"/>
  <cols>
    <col min="1" max="1" width="22.5546875" bestFit="1" customWidth="1"/>
    <col min="2" max="3" width="13" style="2" customWidth="1"/>
    <col min="4" max="4" width="13" style="14" customWidth="1"/>
    <col min="5" max="5" width="11.21875" customWidth="1"/>
    <col min="6" max="6" width="13" style="2" customWidth="1"/>
    <col min="7" max="7" width="12.5546875" customWidth="1"/>
    <col min="8" max="8" width="9.21875" style="12" customWidth="1"/>
    <col min="9" max="10" width="13.5546875" customWidth="1"/>
    <col min="11" max="11" width="10.21875" style="9" customWidth="1"/>
    <col min="12" max="12" width="9.21875" style="16" customWidth="1"/>
    <col min="13" max="13" width="11.21875" customWidth="1"/>
    <col min="14" max="14" width="11.44140625" customWidth="1"/>
  </cols>
  <sheetData>
    <row r="1" spans="1:15" x14ac:dyDescent="0.25">
      <c r="A1" s="17" t="s">
        <v>172</v>
      </c>
      <c r="B1" s="52" t="s">
        <v>190</v>
      </c>
      <c r="C1" s="52"/>
      <c r="D1" s="52"/>
      <c r="E1" s="52" t="s">
        <v>191</v>
      </c>
      <c r="F1" s="52"/>
      <c r="G1" s="52"/>
      <c r="H1" s="52"/>
      <c r="I1" s="51" t="s">
        <v>192</v>
      </c>
      <c r="J1" s="51"/>
      <c r="K1" s="51"/>
      <c r="L1" s="51"/>
    </row>
    <row r="2" spans="1:15" s="7" customFormat="1" ht="39.6" x14ac:dyDescent="0.25">
      <c r="A2" s="5" t="s">
        <v>566</v>
      </c>
      <c r="B2" s="6" t="s">
        <v>567</v>
      </c>
      <c r="C2" s="6" t="s">
        <v>568</v>
      </c>
      <c r="D2" s="13" t="s">
        <v>6</v>
      </c>
      <c r="E2" s="8" t="s">
        <v>437</v>
      </c>
      <c r="F2" s="6" t="s">
        <v>447</v>
      </c>
      <c r="G2" s="6" t="s">
        <v>438</v>
      </c>
      <c r="H2" s="11" t="s">
        <v>439</v>
      </c>
      <c r="I2" s="8" t="s">
        <v>556</v>
      </c>
      <c r="J2" s="8" t="s">
        <v>555</v>
      </c>
      <c r="K2" s="10" t="s">
        <v>200</v>
      </c>
      <c r="L2" s="15" t="s">
        <v>439</v>
      </c>
      <c r="M2" s="8" t="s">
        <v>389</v>
      </c>
      <c r="N2" s="8" t="s">
        <v>358</v>
      </c>
      <c r="O2" s="8" t="s">
        <v>359</v>
      </c>
    </row>
    <row r="3" spans="1:15" x14ac:dyDescent="0.25">
      <c r="A3" s="4" t="s">
        <v>599</v>
      </c>
      <c r="B3" s="2">
        <v>0</v>
      </c>
      <c r="C3" s="2">
        <v>0</v>
      </c>
      <c r="D3" s="14">
        <v>0</v>
      </c>
      <c r="E3" s="2">
        <v>0</v>
      </c>
      <c r="F3" s="2">
        <v>0</v>
      </c>
      <c r="G3" s="3" t="e">
        <f>F3/E3</f>
        <v>#DIV/0!</v>
      </c>
      <c r="H3" s="12" t="e">
        <f>IF(G3&lt;0.96,"behind",IF(G3&gt;1.04,"ahead","on track"))</f>
        <v>#DIV/0!</v>
      </c>
      <c r="I3" s="2">
        <v>0</v>
      </c>
      <c r="J3" s="2">
        <v>0</v>
      </c>
      <c r="K3" s="9" t="e">
        <f>J3/I3</f>
        <v>#DIV/0!</v>
      </c>
      <c r="L3" s="12" t="e">
        <f>IF(K3&lt;0.96,"behind",IF(K3&gt;1.04,"ahead","on track"))</f>
        <v>#DIV/0!</v>
      </c>
      <c r="M3" s="2">
        <v>0</v>
      </c>
      <c r="N3" s="2">
        <v>0</v>
      </c>
      <c r="O3" s="9" t="e">
        <f>N3/M3</f>
        <v>#DIV/0!</v>
      </c>
    </row>
    <row r="4" spans="1:15" x14ac:dyDescent="0.25">
      <c r="A4" s="1" t="s">
        <v>585</v>
      </c>
      <c r="B4" s="2">
        <v>145138</v>
      </c>
      <c r="C4" s="2">
        <v>138943</v>
      </c>
      <c r="D4" s="14">
        <v>142208</v>
      </c>
      <c r="E4" s="2">
        <v>110929</v>
      </c>
      <c r="F4" s="2">
        <v>101272</v>
      </c>
      <c r="G4" s="3">
        <f t="shared" ref="G4:G61" si="0">F4/E4</f>
        <v>0.91294431573348722</v>
      </c>
      <c r="H4" s="12" t="str">
        <f t="shared" ref="H4:H61" si="1">IF(G4&lt;0.96,"behind",IF(G4&gt;1.04,"ahead","on track"))</f>
        <v>behind</v>
      </c>
      <c r="I4" s="2">
        <v>13917</v>
      </c>
      <c r="J4" s="2">
        <v>9832</v>
      </c>
      <c r="K4" s="9">
        <f t="shared" ref="K4:K59" si="2">J4/I4</f>
        <v>0.70647409642882808</v>
      </c>
      <c r="L4" s="12" t="str">
        <f t="shared" ref="L4:L59" si="3">IF(K4&lt;0.96,"behind",IF(K4&gt;1.04,"ahead","on track"))</f>
        <v>behind</v>
      </c>
      <c r="M4" s="2">
        <v>132551</v>
      </c>
      <c r="N4" s="2">
        <v>157000</v>
      </c>
      <c r="O4" s="9">
        <f t="shared" ref="O4:O60" si="4">N4/M4</f>
        <v>1.1844497589607019</v>
      </c>
    </row>
    <row r="5" spans="1:15" x14ac:dyDescent="0.25">
      <c r="A5" s="1" t="s">
        <v>110</v>
      </c>
      <c r="B5" s="2">
        <v>0</v>
      </c>
      <c r="C5" s="2">
        <v>0</v>
      </c>
      <c r="D5" s="14">
        <v>0</v>
      </c>
      <c r="E5" s="2">
        <v>0</v>
      </c>
      <c r="F5" s="2">
        <v>0</v>
      </c>
      <c r="G5" s="3" t="e">
        <f t="shared" si="0"/>
        <v>#DIV/0!</v>
      </c>
      <c r="H5" s="12" t="e">
        <f t="shared" si="1"/>
        <v>#DIV/0!</v>
      </c>
      <c r="I5" s="2">
        <v>0</v>
      </c>
      <c r="J5" s="2">
        <v>0</v>
      </c>
      <c r="K5" s="9" t="e">
        <f t="shared" si="2"/>
        <v>#DIV/0!</v>
      </c>
      <c r="L5" s="12" t="e">
        <f t="shared" si="3"/>
        <v>#DIV/0!</v>
      </c>
      <c r="M5" s="2">
        <v>0</v>
      </c>
      <c r="N5" s="2">
        <v>0</v>
      </c>
      <c r="O5" s="9" t="e">
        <f t="shared" si="4"/>
        <v>#DIV/0!</v>
      </c>
    </row>
    <row r="6" spans="1:15" x14ac:dyDescent="0.25">
      <c r="A6" s="1" t="s">
        <v>104</v>
      </c>
      <c r="B6" s="2">
        <v>4450</v>
      </c>
      <c r="C6" s="2">
        <v>0</v>
      </c>
      <c r="D6" s="14">
        <v>0</v>
      </c>
      <c r="E6" s="2">
        <v>0</v>
      </c>
      <c r="F6" s="2">
        <v>0</v>
      </c>
      <c r="G6" s="3" t="e">
        <f t="shared" si="0"/>
        <v>#DIV/0!</v>
      </c>
      <c r="H6" s="12" t="e">
        <f t="shared" si="1"/>
        <v>#DIV/0!</v>
      </c>
      <c r="I6" s="2">
        <v>0</v>
      </c>
      <c r="J6" s="2">
        <v>0</v>
      </c>
      <c r="K6" s="9" t="e">
        <f t="shared" si="2"/>
        <v>#DIV/0!</v>
      </c>
      <c r="L6" s="12" t="e">
        <f t="shared" si="3"/>
        <v>#DIV/0!</v>
      </c>
      <c r="M6" s="2">
        <v>0</v>
      </c>
      <c r="N6" s="2">
        <v>0</v>
      </c>
      <c r="O6" s="9" t="e">
        <f t="shared" si="4"/>
        <v>#DIV/0!</v>
      </c>
    </row>
    <row r="7" spans="1:15" x14ac:dyDescent="0.25">
      <c r="A7" s="1" t="s">
        <v>493</v>
      </c>
      <c r="B7" s="2">
        <v>0</v>
      </c>
      <c r="C7" s="2">
        <v>0</v>
      </c>
      <c r="D7" s="14">
        <v>0</v>
      </c>
      <c r="E7" s="2">
        <v>0</v>
      </c>
      <c r="F7" s="2">
        <v>0</v>
      </c>
      <c r="G7" s="3" t="e">
        <f t="shared" si="0"/>
        <v>#DIV/0!</v>
      </c>
      <c r="H7" s="12" t="e">
        <f t="shared" si="1"/>
        <v>#DIV/0!</v>
      </c>
      <c r="I7" s="2">
        <v>0</v>
      </c>
      <c r="J7" s="2">
        <v>0</v>
      </c>
      <c r="K7" s="9" t="e">
        <f t="shared" si="2"/>
        <v>#DIV/0!</v>
      </c>
      <c r="L7" s="12" t="e">
        <f t="shared" si="3"/>
        <v>#DIV/0!</v>
      </c>
      <c r="M7" s="2">
        <v>0</v>
      </c>
      <c r="N7" s="2">
        <v>0</v>
      </c>
      <c r="O7" s="9" t="e">
        <f t="shared" si="4"/>
        <v>#DIV/0!</v>
      </c>
    </row>
    <row r="8" spans="1:15" hidden="1" x14ac:dyDescent="0.25">
      <c r="A8" s="1" t="s">
        <v>8</v>
      </c>
      <c r="B8" s="2">
        <v>1000</v>
      </c>
      <c r="C8" s="2">
        <v>0</v>
      </c>
      <c r="D8" s="14">
        <v>0</v>
      </c>
      <c r="E8" s="2">
        <v>0</v>
      </c>
      <c r="F8" s="2">
        <v>0</v>
      </c>
      <c r="G8" s="3" t="e">
        <f t="shared" si="0"/>
        <v>#DIV/0!</v>
      </c>
      <c r="H8" s="12" t="e">
        <f t="shared" si="1"/>
        <v>#DIV/0!</v>
      </c>
      <c r="I8" s="2">
        <v>0</v>
      </c>
      <c r="J8" s="2">
        <v>0</v>
      </c>
      <c r="K8" s="9" t="e">
        <f t="shared" si="2"/>
        <v>#DIV/0!</v>
      </c>
      <c r="L8" s="12" t="e">
        <f t="shared" si="3"/>
        <v>#DIV/0!</v>
      </c>
      <c r="M8" s="2">
        <v>0</v>
      </c>
      <c r="N8" s="2">
        <v>0</v>
      </c>
      <c r="O8" s="9" t="e">
        <f t="shared" si="4"/>
        <v>#DIV/0!</v>
      </c>
    </row>
    <row r="9" spans="1:15" hidden="1" x14ac:dyDescent="0.25">
      <c r="A9" s="1" t="s">
        <v>101</v>
      </c>
      <c r="B9" s="2">
        <v>0</v>
      </c>
      <c r="C9" s="2">
        <v>0</v>
      </c>
      <c r="D9" s="14">
        <v>0</v>
      </c>
      <c r="E9" s="2">
        <v>0</v>
      </c>
      <c r="F9" s="2">
        <v>0</v>
      </c>
      <c r="G9" s="3" t="e">
        <f t="shared" si="0"/>
        <v>#DIV/0!</v>
      </c>
      <c r="H9" s="12" t="e">
        <f t="shared" si="1"/>
        <v>#DIV/0!</v>
      </c>
      <c r="I9" s="2">
        <v>0</v>
      </c>
      <c r="J9" s="2">
        <v>0</v>
      </c>
      <c r="K9" s="9" t="e">
        <f t="shared" si="2"/>
        <v>#DIV/0!</v>
      </c>
      <c r="L9" s="12" t="e">
        <f t="shared" si="3"/>
        <v>#DIV/0!</v>
      </c>
      <c r="M9" s="2">
        <v>0</v>
      </c>
      <c r="N9" s="2">
        <v>0</v>
      </c>
      <c r="O9" s="9" t="e">
        <f t="shared" si="4"/>
        <v>#DIV/0!</v>
      </c>
    </row>
    <row r="10" spans="1:15" x14ac:dyDescent="0.25">
      <c r="A10" s="1" t="s">
        <v>58</v>
      </c>
      <c r="B10" s="2">
        <v>837077</v>
      </c>
      <c r="C10" s="2">
        <v>838441</v>
      </c>
      <c r="D10" s="14">
        <v>752944</v>
      </c>
      <c r="E10" s="2">
        <v>598069</v>
      </c>
      <c r="F10" s="2">
        <v>690247</v>
      </c>
      <c r="G10" s="3">
        <f t="shared" si="0"/>
        <v>1.1541260289364605</v>
      </c>
      <c r="H10" s="12" t="str">
        <f t="shared" si="1"/>
        <v>ahead</v>
      </c>
      <c r="I10" s="2">
        <v>122381</v>
      </c>
      <c r="J10" s="2">
        <v>192036</v>
      </c>
      <c r="K10" s="9">
        <f t="shared" si="2"/>
        <v>1.5691651481847673</v>
      </c>
      <c r="L10" s="12" t="str">
        <f t="shared" si="3"/>
        <v>ahead</v>
      </c>
      <c r="M10" s="2">
        <v>862468</v>
      </c>
      <c r="N10" s="2">
        <v>958000</v>
      </c>
      <c r="O10" s="9">
        <f t="shared" si="4"/>
        <v>1.110765848703952</v>
      </c>
    </row>
    <row r="11" spans="1:15" x14ac:dyDescent="0.25">
      <c r="A11" s="1" t="s">
        <v>105</v>
      </c>
      <c r="B11" s="2">
        <v>0</v>
      </c>
      <c r="C11" s="2">
        <v>0</v>
      </c>
      <c r="D11" s="14">
        <v>0</v>
      </c>
      <c r="E11" s="2">
        <v>0</v>
      </c>
      <c r="F11" s="2">
        <v>0</v>
      </c>
      <c r="G11" s="3" t="e">
        <f t="shared" si="0"/>
        <v>#DIV/0!</v>
      </c>
      <c r="H11" s="12" t="e">
        <f t="shared" si="1"/>
        <v>#DIV/0!</v>
      </c>
      <c r="I11" s="2">
        <v>0</v>
      </c>
      <c r="J11" s="2">
        <v>0</v>
      </c>
      <c r="K11" s="9" t="e">
        <f t="shared" si="2"/>
        <v>#DIV/0!</v>
      </c>
      <c r="L11" s="12" t="e">
        <f t="shared" si="3"/>
        <v>#DIV/0!</v>
      </c>
      <c r="M11" s="2">
        <v>0</v>
      </c>
      <c r="N11" s="2">
        <v>0</v>
      </c>
      <c r="O11" s="9" t="e">
        <f t="shared" si="4"/>
        <v>#DIV/0!</v>
      </c>
    </row>
    <row r="12" spans="1:15" x14ac:dyDescent="0.25">
      <c r="A12" s="1" t="s">
        <v>102</v>
      </c>
      <c r="B12" s="2">
        <v>0</v>
      </c>
      <c r="C12" s="2">
        <v>0</v>
      </c>
      <c r="D12" s="14">
        <v>0</v>
      </c>
      <c r="E12" s="2">
        <v>0</v>
      </c>
      <c r="F12" s="2">
        <v>0</v>
      </c>
      <c r="G12" s="3" t="e">
        <f t="shared" si="0"/>
        <v>#DIV/0!</v>
      </c>
      <c r="H12" s="12" t="e">
        <f t="shared" si="1"/>
        <v>#DIV/0!</v>
      </c>
      <c r="I12" s="2">
        <v>0</v>
      </c>
      <c r="J12" s="2">
        <v>0</v>
      </c>
      <c r="K12" s="9" t="e">
        <f t="shared" si="2"/>
        <v>#DIV/0!</v>
      </c>
      <c r="L12" s="12" t="e">
        <f t="shared" si="3"/>
        <v>#DIV/0!</v>
      </c>
      <c r="M12" s="2">
        <v>0</v>
      </c>
      <c r="N12" s="2">
        <v>0</v>
      </c>
      <c r="O12" s="9" t="e">
        <f t="shared" si="4"/>
        <v>#DIV/0!</v>
      </c>
    </row>
    <row r="13" spans="1:15" x14ac:dyDescent="0.25">
      <c r="A13" s="1" t="s">
        <v>103</v>
      </c>
      <c r="B13" s="2">
        <v>0</v>
      </c>
      <c r="C13" s="2">
        <v>9598</v>
      </c>
      <c r="D13" s="14">
        <v>28930</v>
      </c>
      <c r="E13" s="2">
        <v>18540</v>
      </c>
      <c r="F13" s="2">
        <v>10650</v>
      </c>
      <c r="G13" s="3">
        <f t="shared" si="0"/>
        <v>0.57443365695792881</v>
      </c>
      <c r="H13" s="12" t="str">
        <f t="shared" si="1"/>
        <v>behind</v>
      </c>
      <c r="I13" s="2">
        <v>0</v>
      </c>
      <c r="J13" s="2">
        <v>0</v>
      </c>
      <c r="K13" s="9" t="e">
        <f t="shared" si="2"/>
        <v>#DIV/0!</v>
      </c>
      <c r="L13" s="12" t="e">
        <f t="shared" si="3"/>
        <v>#DIV/0!</v>
      </c>
      <c r="M13" s="2">
        <v>21040</v>
      </c>
      <c r="N13" s="2">
        <v>10000</v>
      </c>
      <c r="O13" s="9">
        <f t="shared" si="4"/>
        <v>0.47528517110266161</v>
      </c>
    </row>
    <row r="14" spans="1:15" x14ac:dyDescent="0.25">
      <c r="A14" s="1" t="s">
        <v>5</v>
      </c>
      <c r="B14" s="2">
        <v>0</v>
      </c>
      <c r="C14" s="2">
        <v>0</v>
      </c>
      <c r="D14" s="14">
        <v>0</v>
      </c>
      <c r="E14" s="2">
        <v>0</v>
      </c>
      <c r="F14" s="2">
        <v>0</v>
      </c>
      <c r="G14" s="3" t="e">
        <f t="shared" si="0"/>
        <v>#DIV/0!</v>
      </c>
      <c r="H14" s="12" t="e">
        <f t="shared" si="1"/>
        <v>#DIV/0!</v>
      </c>
      <c r="I14" s="2">
        <v>0</v>
      </c>
      <c r="J14" s="2">
        <v>0</v>
      </c>
      <c r="K14" s="9" t="e">
        <f t="shared" si="2"/>
        <v>#DIV/0!</v>
      </c>
      <c r="L14" s="12" t="e">
        <f t="shared" si="3"/>
        <v>#DIV/0!</v>
      </c>
      <c r="M14" s="2">
        <v>0</v>
      </c>
      <c r="N14" s="2">
        <v>0</v>
      </c>
      <c r="O14" s="9" t="e">
        <f t="shared" si="4"/>
        <v>#DIV/0!</v>
      </c>
    </row>
    <row r="15" spans="1:15" x14ac:dyDescent="0.25">
      <c r="A15" s="1" t="s">
        <v>97</v>
      </c>
      <c r="B15" s="2">
        <v>2669539</v>
      </c>
      <c r="C15" s="2">
        <v>3049053</v>
      </c>
      <c r="D15" s="14">
        <v>2924064</v>
      </c>
      <c r="E15" s="2">
        <v>2402495</v>
      </c>
      <c r="F15" s="2">
        <v>1793088</v>
      </c>
      <c r="G15" s="3">
        <f t="shared" si="0"/>
        <v>0.74634411309909077</v>
      </c>
      <c r="H15" s="12" t="str">
        <f t="shared" si="1"/>
        <v>behind</v>
      </c>
      <c r="I15" s="2">
        <v>291080</v>
      </c>
      <c r="J15" s="2">
        <v>194112</v>
      </c>
      <c r="K15" s="9">
        <f t="shared" si="2"/>
        <v>0.66686821492373227</v>
      </c>
      <c r="L15" s="12" t="str">
        <f t="shared" si="3"/>
        <v>behind</v>
      </c>
      <c r="M15" s="2">
        <v>2436801</v>
      </c>
      <c r="N15" s="2">
        <v>2749000</v>
      </c>
      <c r="O15" s="9">
        <f t="shared" si="4"/>
        <v>1.1281183814353326</v>
      </c>
    </row>
    <row r="16" spans="1:15" x14ac:dyDescent="0.25">
      <c r="A16" s="1" t="s">
        <v>98</v>
      </c>
      <c r="B16" s="2">
        <v>1231505</v>
      </c>
      <c r="C16" s="2">
        <v>942228</v>
      </c>
      <c r="D16" s="14">
        <v>812882</v>
      </c>
      <c r="E16" s="2">
        <v>585135</v>
      </c>
      <c r="F16" s="2">
        <v>790411</v>
      </c>
      <c r="G16" s="3">
        <f t="shared" si="0"/>
        <v>1.3508181872559324</v>
      </c>
      <c r="H16" s="12" t="str">
        <f t="shared" si="1"/>
        <v>ahead</v>
      </c>
      <c r="I16" s="2">
        <v>39451</v>
      </c>
      <c r="J16" s="2">
        <v>111475</v>
      </c>
      <c r="K16" s="9">
        <f t="shared" si="2"/>
        <v>2.8256571443055942</v>
      </c>
      <c r="L16" s="12" t="str">
        <f t="shared" si="3"/>
        <v>ahead</v>
      </c>
      <c r="M16" s="2">
        <v>1007981</v>
      </c>
      <c r="N16" s="2">
        <v>1199000</v>
      </c>
      <c r="O16" s="9">
        <f t="shared" si="4"/>
        <v>1.1895065482385085</v>
      </c>
    </row>
    <row r="17" spans="1:15" hidden="1" x14ac:dyDescent="0.25">
      <c r="A17" s="4" t="s">
        <v>81</v>
      </c>
      <c r="B17" s="2">
        <v>0</v>
      </c>
      <c r="C17" s="2">
        <v>0</v>
      </c>
      <c r="D17" s="14">
        <v>0</v>
      </c>
      <c r="E17" s="2">
        <v>0</v>
      </c>
      <c r="F17" s="2">
        <v>0</v>
      </c>
      <c r="G17" s="3" t="e">
        <f t="shared" si="0"/>
        <v>#DIV/0!</v>
      </c>
      <c r="H17" s="12" t="e">
        <f t="shared" si="1"/>
        <v>#DIV/0!</v>
      </c>
      <c r="I17" s="2">
        <v>0</v>
      </c>
      <c r="J17" s="2">
        <v>0</v>
      </c>
      <c r="K17" s="9" t="e">
        <f t="shared" si="2"/>
        <v>#DIV/0!</v>
      </c>
      <c r="L17" s="12" t="e">
        <f t="shared" si="3"/>
        <v>#DIV/0!</v>
      </c>
      <c r="M17" s="2">
        <v>0</v>
      </c>
      <c r="N17" s="2">
        <v>0</v>
      </c>
      <c r="O17" s="9" t="e">
        <f t="shared" si="4"/>
        <v>#DIV/0!</v>
      </c>
    </row>
    <row r="18" spans="1:15" hidden="1" x14ac:dyDescent="0.25">
      <c r="A18" s="4" t="s">
        <v>600</v>
      </c>
      <c r="B18" s="2">
        <v>744</v>
      </c>
      <c r="C18" s="2">
        <v>0</v>
      </c>
      <c r="D18" s="14">
        <v>0</v>
      </c>
      <c r="E18" s="2">
        <v>0</v>
      </c>
      <c r="F18" s="2">
        <v>0</v>
      </c>
      <c r="G18" s="3" t="e">
        <f t="shared" si="0"/>
        <v>#DIV/0!</v>
      </c>
      <c r="H18" s="12" t="e">
        <f t="shared" si="1"/>
        <v>#DIV/0!</v>
      </c>
      <c r="I18" s="2">
        <v>0</v>
      </c>
      <c r="J18" s="2">
        <v>0</v>
      </c>
      <c r="K18" s="9" t="e">
        <f t="shared" si="2"/>
        <v>#DIV/0!</v>
      </c>
      <c r="L18" s="12" t="e">
        <f t="shared" si="3"/>
        <v>#DIV/0!</v>
      </c>
      <c r="M18" s="2">
        <v>0</v>
      </c>
      <c r="N18" s="2">
        <v>0</v>
      </c>
      <c r="O18" s="9" t="e">
        <f t="shared" si="4"/>
        <v>#DIV/0!</v>
      </c>
    </row>
    <row r="19" spans="1:15" hidden="1" x14ac:dyDescent="0.25">
      <c r="A19" s="1" t="s">
        <v>616</v>
      </c>
      <c r="B19" s="2">
        <v>0</v>
      </c>
      <c r="C19" s="2">
        <v>0</v>
      </c>
      <c r="D19" s="14">
        <v>0</v>
      </c>
      <c r="E19" s="2">
        <v>0</v>
      </c>
      <c r="F19" s="2">
        <v>0</v>
      </c>
      <c r="G19" s="3" t="e">
        <f t="shared" si="0"/>
        <v>#DIV/0!</v>
      </c>
      <c r="H19" s="12" t="e">
        <f t="shared" si="1"/>
        <v>#DIV/0!</v>
      </c>
      <c r="I19" s="2">
        <v>0</v>
      </c>
      <c r="J19" s="2">
        <v>0</v>
      </c>
      <c r="K19" s="9" t="e">
        <f t="shared" si="2"/>
        <v>#DIV/0!</v>
      </c>
      <c r="L19" s="12" t="e">
        <f t="shared" si="3"/>
        <v>#DIV/0!</v>
      </c>
      <c r="M19" s="2">
        <v>0</v>
      </c>
      <c r="N19" s="2">
        <v>0</v>
      </c>
      <c r="O19" s="9" t="e">
        <f t="shared" si="4"/>
        <v>#DIV/0!</v>
      </c>
    </row>
    <row r="20" spans="1:15" x14ac:dyDescent="0.25">
      <c r="A20" s="1" t="s">
        <v>99</v>
      </c>
      <c r="B20" s="2">
        <v>27089</v>
      </c>
      <c r="C20" s="2">
        <v>15355</v>
      </c>
      <c r="D20" s="14">
        <v>6584</v>
      </c>
      <c r="E20" s="2">
        <v>4884</v>
      </c>
      <c r="F20" s="2">
        <v>0</v>
      </c>
      <c r="G20" s="3">
        <f t="shared" si="0"/>
        <v>0</v>
      </c>
      <c r="H20" s="12" t="str">
        <f t="shared" si="1"/>
        <v>behind</v>
      </c>
      <c r="I20" s="2">
        <v>0</v>
      </c>
      <c r="J20" s="2">
        <v>0</v>
      </c>
      <c r="K20" s="9" t="e">
        <f t="shared" si="2"/>
        <v>#DIV/0!</v>
      </c>
      <c r="L20" s="12" t="e">
        <f t="shared" si="3"/>
        <v>#DIV/0!</v>
      </c>
      <c r="M20" s="2">
        <v>1700</v>
      </c>
      <c r="N20" s="2">
        <v>0</v>
      </c>
      <c r="O20" s="9">
        <f t="shared" si="4"/>
        <v>0</v>
      </c>
    </row>
    <row r="21" spans="1:15" x14ac:dyDescent="0.25">
      <c r="A21" s="1" t="s">
        <v>591</v>
      </c>
      <c r="B21" s="2">
        <v>0</v>
      </c>
      <c r="C21" s="2">
        <v>0</v>
      </c>
      <c r="D21" s="14">
        <v>0</v>
      </c>
      <c r="E21" s="2">
        <v>0</v>
      </c>
      <c r="F21" s="2">
        <v>0</v>
      </c>
      <c r="G21" s="3" t="e">
        <f t="shared" si="0"/>
        <v>#DIV/0!</v>
      </c>
      <c r="H21" s="12" t="e">
        <f t="shared" si="1"/>
        <v>#DIV/0!</v>
      </c>
      <c r="I21" s="2">
        <v>0</v>
      </c>
      <c r="J21" s="2">
        <v>0</v>
      </c>
      <c r="K21" s="9" t="e">
        <f t="shared" si="2"/>
        <v>#DIV/0!</v>
      </c>
      <c r="L21" s="12" t="e">
        <f t="shared" si="3"/>
        <v>#DIV/0!</v>
      </c>
      <c r="M21" s="2">
        <v>0</v>
      </c>
      <c r="N21" s="2">
        <v>0</v>
      </c>
      <c r="O21" s="9" t="e">
        <f t="shared" si="4"/>
        <v>#DIV/0!</v>
      </c>
    </row>
    <row r="22" spans="1:15" x14ac:dyDescent="0.25">
      <c r="A22" s="1" t="s">
        <v>100</v>
      </c>
      <c r="B22" s="2">
        <v>50786</v>
      </c>
      <c r="C22" s="2">
        <v>22258</v>
      </c>
      <c r="D22" s="14">
        <v>11805</v>
      </c>
      <c r="E22" s="2">
        <v>9381</v>
      </c>
      <c r="F22" s="2">
        <v>4376</v>
      </c>
      <c r="G22" s="3">
        <f t="shared" si="0"/>
        <v>0.46647478946807375</v>
      </c>
      <c r="H22" s="12" t="str">
        <f t="shared" si="1"/>
        <v>behind</v>
      </c>
      <c r="I22" s="2">
        <v>0</v>
      </c>
      <c r="J22" s="2">
        <v>0</v>
      </c>
      <c r="K22" s="9" t="e">
        <f t="shared" si="2"/>
        <v>#DIV/0!</v>
      </c>
      <c r="L22" s="12" t="e">
        <f t="shared" si="3"/>
        <v>#DIV/0!</v>
      </c>
      <c r="M22" s="2">
        <v>6800</v>
      </c>
      <c r="N22" s="2">
        <v>5000</v>
      </c>
      <c r="O22" s="9">
        <f t="shared" si="4"/>
        <v>0.73529411764705888</v>
      </c>
    </row>
    <row r="23" spans="1:15" x14ac:dyDescent="0.25">
      <c r="A23" s="1" t="s">
        <v>106</v>
      </c>
      <c r="B23" s="2">
        <v>0</v>
      </c>
      <c r="C23" s="2">
        <v>0</v>
      </c>
      <c r="D23" s="14">
        <v>0</v>
      </c>
      <c r="E23" s="2">
        <v>0</v>
      </c>
      <c r="F23" s="2">
        <v>0</v>
      </c>
      <c r="G23" s="3" t="e">
        <f t="shared" si="0"/>
        <v>#DIV/0!</v>
      </c>
      <c r="H23" s="12" t="e">
        <f t="shared" si="1"/>
        <v>#DIV/0!</v>
      </c>
      <c r="I23" s="2">
        <v>0</v>
      </c>
      <c r="J23" s="2">
        <v>0</v>
      </c>
      <c r="K23" s="9" t="e">
        <f t="shared" si="2"/>
        <v>#DIV/0!</v>
      </c>
      <c r="L23" s="12" t="e">
        <f t="shared" si="3"/>
        <v>#DIV/0!</v>
      </c>
      <c r="M23" s="2">
        <v>0</v>
      </c>
      <c r="N23" s="2">
        <v>0</v>
      </c>
      <c r="O23" s="9" t="e">
        <f t="shared" si="4"/>
        <v>#DIV/0!</v>
      </c>
    </row>
    <row r="24" spans="1:15" x14ac:dyDescent="0.25">
      <c r="A24" s="1" t="s">
        <v>218</v>
      </c>
      <c r="B24" s="2">
        <v>0</v>
      </c>
      <c r="C24" s="2">
        <v>26367</v>
      </c>
      <c r="D24" s="14">
        <v>0</v>
      </c>
      <c r="E24" s="2">
        <v>0</v>
      </c>
      <c r="F24" s="2">
        <v>10510</v>
      </c>
      <c r="G24" s="3" t="e">
        <f t="shared" si="0"/>
        <v>#DIV/0!</v>
      </c>
      <c r="H24" s="12" t="e">
        <f t="shared" si="1"/>
        <v>#DIV/0!</v>
      </c>
      <c r="I24" s="2">
        <v>0</v>
      </c>
      <c r="J24" s="2">
        <v>0</v>
      </c>
      <c r="K24" s="9" t="e">
        <f t="shared" si="2"/>
        <v>#DIV/0!</v>
      </c>
      <c r="L24" s="12" t="e">
        <f t="shared" si="3"/>
        <v>#DIV/0!</v>
      </c>
      <c r="M24" s="2">
        <v>10510</v>
      </c>
      <c r="N24" s="2">
        <v>26000</v>
      </c>
      <c r="O24" s="9">
        <f t="shared" si="4"/>
        <v>2.4738344433872501</v>
      </c>
    </row>
    <row r="25" spans="1:15" x14ac:dyDescent="0.25">
      <c r="A25" s="1" t="s">
        <v>107</v>
      </c>
      <c r="B25" s="2">
        <v>2579654</v>
      </c>
      <c r="C25" s="2">
        <v>2508003</v>
      </c>
      <c r="D25" s="14">
        <v>2102991</v>
      </c>
      <c r="E25" s="2">
        <v>1592848</v>
      </c>
      <c r="F25" s="2">
        <v>1750149</v>
      </c>
      <c r="G25" s="3">
        <f t="shared" si="0"/>
        <v>1.0987545578736955</v>
      </c>
      <c r="H25" s="12" t="str">
        <f t="shared" si="1"/>
        <v>ahead</v>
      </c>
      <c r="I25" s="2">
        <v>141172</v>
      </c>
      <c r="J25" s="2">
        <v>114976</v>
      </c>
      <c r="K25" s="9">
        <f t="shared" si="2"/>
        <v>0.81443912390559037</v>
      </c>
      <c r="L25" s="12" t="str">
        <f t="shared" si="3"/>
        <v>behind</v>
      </c>
      <c r="M25" s="2">
        <v>2236767</v>
      </c>
      <c r="N25" s="2">
        <v>2355000</v>
      </c>
      <c r="O25" s="9">
        <f t="shared" si="4"/>
        <v>1.0528588806970061</v>
      </c>
    </row>
    <row r="26" spans="1:15" hidden="1" x14ac:dyDescent="0.25">
      <c r="A26" s="1" t="s">
        <v>108</v>
      </c>
      <c r="B26" s="2">
        <v>0</v>
      </c>
      <c r="C26" s="2">
        <v>0</v>
      </c>
      <c r="D26" s="14">
        <v>0</v>
      </c>
      <c r="E26" s="2">
        <v>0</v>
      </c>
      <c r="F26" s="2">
        <v>0</v>
      </c>
      <c r="G26" s="3" t="e">
        <f t="shared" si="0"/>
        <v>#DIV/0!</v>
      </c>
      <c r="H26" s="12" t="e">
        <f t="shared" si="1"/>
        <v>#DIV/0!</v>
      </c>
      <c r="I26" s="2">
        <v>0</v>
      </c>
      <c r="J26" s="2">
        <v>0</v>
      </c>
      <c r="K26" s="9" t="e">
        <f t="shared" si="2"/>
        <v>#DIV/0!</v>
      </c>
      <c r="L26" s="12" t="e">
        <f t="shared" si="3"/>
        <v>#DIV/0!</v>
      </c>
      <c r="M26" s="2">
        <v>0</v>
      </c>
      <c r="N26" s="2">
        <v>0</v>
      </c>
      <c r="O26" s="9" t="e">
        <f t="shared" si="4"/>
        <v>#DIV/0!</v>
      </c>
    </row>
    <row r="27" spans="1:15" x14ac:dyDescent="0.25">
      <c r="A27" s="1" t="s">
        <v>421</v>
      </c>
      <c r="B27" s="2">
        <v>48700</v>
      </c>
      <c r="C27" s="2">
        <v>55051</v>
      </c>
      <c r="D27" s="14">
        <v>55815</v>
      </c>
      <c r="E27" s="2">
        <v>43337</v>
      </c>
      <c r="F27" s="2">
        <v>21250</v>
      </c>
      <c r="G27" s="3">
        <f t="shared" si="0"/>
        <v>0.49034312481251585</v>
      </c>
      <c r="H27" s="12" t="str">
        <f t="shared" si="1"/>
        <v>behind</v>
      </c>
      <c r="I27" s="2">
        <v>8282</v>
      </c>
      <c r="J27" s="2">
        <v>3202</v>
      </c>
      <c r="K27" s="9">
        <f t="shared" si="2"/>
        <v>0.38662158898816712</v>
      </c>
      <c r="L27" s="12" t="str">
        <f t="shared" si="3"/>
        <v>behind</v>
      </c>
      <c r="M27" s="2">
        <v>33728</v>
      </c>
      <c r="N27" s="2">
        <v>47000</v>
      </c>
      <c r="O27" s="9">
        <f t="shared" si="4"/>
        <v>1.3935009487666035</v>
      </c>
    </row>
    <row r="28" spans="1:15" x14ac:dyDescent="0.25">
      <c r="A28" s="1" t="s">
        <v>442</v>
      </c>
      <c r="B28" s="2">
        <v>0</v>
      </c>
      <c r="C28" s="2">
        <v>0</v>
      </c>
      <c r="D28" s="14">
        <v>0</v>
      </c>
      <c r="E28" s="2">
        <v>0</v>
      </c>
      <c r="F28" s="2">
        <v>0</v>
      </c>
      <c r="G28" s="3" t="e">
        <f t="shared" si="0"/>
        <v>#DIV/0!</v>
      </c>
      <c r="H28" s="12" t="e">
        <f t="shared" si="1"/>
        <v>#DIV/0!</v>
      </c>
      <c r="I28" s="2">
        <v>0</v>
      </c>
      <c r="J28" s="2">
        <v>0</v>
      </c>
      <c r="K28" s="9" t="e">
        <f t="shared" si="2"/>
        <v>#DIV/0!</v>
      </c>
      <c r="L28" s="12" t="e">
        <f t="shared" si="3"/>
        <v>#DIV/0!</v>
      </c>
      <c r="M28" s="2">
        <v>0</v>
      </c>
      <c r="N28" s="2">
        <v>0</v>
      </c>
      <c r="O28" s="9" t="e">
        <f t="shared" si="4"/>
        <v>#DIV/0!</v>
      </c>
    </row>
    <row r="29" spans="1:15" x14ac:dyDescent="0.25">
      <c r="A29" s="1" t="s">
        <v>64</v>
      </c>
      <c r="B29" s="2">
        <v>312024</v>
      </c>
      <c r="C29" s="2">
        <v>298053</v>
      </c>
      <c r="D29" s="14">
        <v>235841</v>
      </c>
      <c r="E29" s="2">
        <v>186946</v>
      </c>
      <c r="F29" s="2">
        <v>153139</v>
      </c>
      <c r="G29" s="3">
        <f t="shared" si="0"/>
        <v>0.81916168305286019</v>
      </c>
      <c r="H29" s="12" t="str">
        <f t="shared" si="1"/>
        <v>behind</v>
      </c>
      <c r="I29" s="2">
        <v>20337</v>
      </c>
      <c r="J29" s="2">
        <v>17603</v>
      </c>
      <c r="K29" s="9">
        <f t="shared" si="2"/>
        <v>0.86556522594286278</v>
      </c>
      <c r="L29" s="12" t="str">
        <f t="shared" si="3"/>
        <v>behind</v>
      </c>
      <c r="M29" s="2">
        <v>202034</v>
      </c>
      <c r="N29" s="2">
        <v>273000</v>
      </c>
      <c r="O29" s="9">
        <f t="shared" si="4"/>
        <v>1.3512577090984685</v>
      </c>
    </row>
    <row r="30" spans="1:15" x14ac:dyDescent="0.25">
      <c r="A30" s="1" t="s">
        <v>60</v>
      </c>
      <c r="B30" s="2">
        <v>84683</v>
      </c>
      <c r="C30" s="2">
        <v>67975</v>
      </c>
      <c r="D30" s="14">
        <v>42126</v>
      </c>
      <c r="E30" s="2">
        <v>35245</v>
      </c>
      <c r="F30" s="2">
        <v>25652</v>
      </c>
      <c r="G30" s="3">
        <f t="shared" si="0"/>
        <v>0.72781954887218048</v>
      </c>
      <c r="H30" s="12" t="str">
        <f t="shared" si="1"/>
        <v>behind</v>
      </c>
      <c r="I30" s="2">
        <v>3833</v>
      </c>
      <c r="J30" s="2">
        <v>2908</v>
      </c>
      <c r="K30" s="9">
        <f t="shared" si="2"/>
        <v>0.75867466736237932</v>
      </c>
      <c r="L30" s="12" t="str">
        <f t="shared" si="3"/>
        <v>behind</v>
      </c>
      <c r="M30" s="2">
        <v>32533</v>
      </c>
      <c r="N30" s="2">
        <v>42000</v>
      </c>
      <c r="O30" s="9">
        <f t="shared" si="4"/>
        <v>1.2909968339839548</v>
      </c>
    </row>
    <row r="31" spans="1:15" x14ac:dyDescent="0.25">
      <c r="A31" s="1" t="s">
        <v>56</v>
      </c>
      <c r="B31" s="2">
        <v>94472</v>
      </c>
      <c r="C31" s="2">
        <v>60653</v>
      </c>
      <c r="D31" s="14">
        <v>21876</v>
      </c>
      <c r="E31" s="2">
        <v>60797</v>
      </c>
      <c r="F31" s="2">
        <v>28020</v>
      </c>
      <c r="G31" s="3">
        <f t="shared" si="0"/>
        <v>0.46087800384887412</v>
      </c>
      <c r="H31" s="12" t="str">
        <f t="shared" si="1"/>
        <v>behind</v>
      </c>
      <c r="I31" s="2">
        <v>3410</v>
      </c>
      <c r="J31" s="2">
        <v>1513</v>
      </c>
      <c r="K31" s="9">
        <f t="shared" si="2"/>
        <v>0.44369501466275657</v>
      </c>
      <c r="L31" s="12" t="str">
        <f t="shared" si="3"/>
        <v>behind</v>
      </c>
      <c r="M31" s="2">
        <v>46087</v>
      </c>
      <c r="N31" s="2">
        <v>4000</v>
      </c>
      <c r="O31" s="9">
        <f t="shared" si="4"/>
        <v>8.6792370950593445E-2</v>
      </c>
    </row>
    <row r="32" spans="1:15" hidden="1" x14ac:dyDescent="0.25">
      <c r="A32" s="1" t="s">
        <v>480</v>
      </c>
      <c r="B32" s="2">
        <v>0</v>
      </c>
      <c r="C32" s="2">
        <v>0</v>
      </c>
      <c r="D32" s="14">
        <v>0</v>
      </c>
      <c r="E32" s="2">
        <v>0</v>
      </c>
      <c r="F32" s="2">
        <v>0</v>
      </c>
      <c r="G32" s="3" t="e">
        <f t="shared" si="0"/>
        <v>#DIV/0!</v>
      </c>
      <c r="H32" s="12" t="e">
        <f t="shared" si="1"/>
        <v>#DIV/0!</v>
      </c>
      <c r="I32" s="2">
        <v>0</v>
      </c>
      <c r="J32" s="2">
        <v>0</v>
      </c>
      <c r="K32" s="9" t="e">
        <f t="shared" si="2"/>
        <v>#DIV/0!</v>
      </c>
      <c r="L32" s="12" t="e">
        <f t="shared" si="3"/>
        <v>#DIV/0!</v>
      </c>
      <c r="M32" s="2">
        <v>0</v>
      </c>
      <c r="N32" s="2">
        <v>0</v>
      </c>
      <c r="O32" s="9" t="e">
        <f t="shared" si="4"/>
        <v>#DIV/0!</v>
      </c>
    </row>
    <row r="33" spans="1:15" hidden="1" x14ac:dyDescent="0.25">
      <c r="A33" s="1" t="s">
        <v>109</v>
      </c>
      <c r="B33" s="2">
        <v>0</v>
      </c>
      <c r="C33" s="2">
        <v>0</v>
      </c>
      <c r="D33" s="14">
        <v>0</v>
      </c>
      <c r="E33" s="2">
        <v>0</v>
      </c>
      <c r="F33" s="2">
        <v>0</v>
      </c>
      <c r="G33" s="3" t="e">
        <f t="shared" si="0"/>
        <v>#DIV/0!</v>
      </c>
      <c r="H33" s="12" t="e">
        <f t="shared" si="1"/>
        <v>#DIV/0!</v>
      </c>
      <c r="I33" s="2">
        <v>0</v>
      </c>
      <c r="J33" s="2">
        <v>0</v>
      </c>
      <c r="K33" s="9" t="e">
        <f t="shared" si="2"/>
        <v>#DIV/0!</v>
      </c>
      <c r="L33" s="12" t="e">
        <f t="shared" si="3"/>
        <v>#DIV/0!</v>
      </c>
      <c r="M33" s="2">
        <v>0</v>
      </c>
      <c r="N33" s="2">
        <v>0</v>
      </c>
      <c r="O33" s="9" t="e">
        <f t="shared" si="4"/>
        <v>#DIV/0!</v>
      </c>
    </row>
    <row r="34" spans="1:15" x14ac:dyDescent="0.25">
      <c r="A34" s="1" t="s">
        <v>456</v>
      </c>
      <c r="B34" s="2">
        <v>4927163</v>
      </c>
      <c r="C34" s="2">
        <v>4226608</v>
      </c>
      <c r="D34" s="14">
        <v>2760563</v>
      </c>
      <c r="E34" s="2">
        <v>2531513</v>
      </c>
      <c r="F34" s="2">
        <v>2028468.5</v>
      </c>
      <c r="G34" s="3">
        <f t="shared" si="0"/>
        <v>0.80128701689463966</v>
      </c>
      <c r="H34" s="12" t="str">
        <f t="shared" si="1"/>
        <v>behind</v>
      </c>
      <c r="I34" s="2">
        <v>213321</v>
      </c>
      <c r="J34" s="2">
        <v>199339.5</v>
      </c>
      <c r="K34" s="9">
        <f t="shared" si="2"/>
        <v>0.93445792959905494</v>
      </c>
      <c r="L34" s="12" t="str">
        <f t="shared" si="3"/>
        <v>behind</v>
      </c>
      <c r="M34" s="2">
        <v>2266518.5</v>
      </c>
      <c r="N34" s="2">
        <v>2980000</v>
      </c>
      <c r="O34" s="9">
        <f t="shared" si="4"/>
        <v>1.3147918272010575</v>
      </c>
    </row>
    <row r="35" spans="1:15" x14ac:dyDescent="0.25">
      <c r="A35" s="1" t="s">
        <v>457</v>
      </c>
      <c r="B35" s="2">
        <v>0</v>
      </c>
      <c r="C35" s="2">
        <v>0</v>
      </c>
      <c r="D35" s="14">
        <v>0</v>
      </c>
      <c r="E35" s="2">
        <v>0</v>
      </c>
      <c r="F35" s="2">
        <v>0</v>
      </c>
      <c r="G35" s="3" t="e">
        <f t="shared" si="0"/>
        <v>#DIV/0!</v>
      </c>
      <c r="H35" s="12" t="e">
        <f t="shared" si="1"/>
        <v>#DIV/0!</v>
      </c>
      <c r="I35" s="2">
        <v>0</v>
      </c>
      <c r="J35" s="2">
        <v>0</v>
      </c>
      <c r="K35" s="9" t="e">
        <f t="shared" si="2"/>
        <v>#DIV/0!</v>
      </c>
      <c r="L35" s="12" t="e">
        <f t="shared" si="3"/>
        <v>#DIV/0!</v>
      </c>
      <c r="M35" s="2">
        <v>0</v>
      </c>
      <c r="N35" s="2">
        <v>0</v>
      </c>
      <c r="O35" s="9" t="e">
        <f t="shared" si="4"/>
        <v>#DIV/0!</v>
      </c>
    </row>
    <row r="36" spans="1:15" x14ac:dyDescent="0.25">
      <c r="A36" s="1" t="s">
        <v>119</v>
      </c>
      <c r="B36" s="2">
        <v>99162</v>
      </c>
      <c r="C36" s="2">
        <v>118040</v>
      </c>
      <c r="D36" s="14">
        <v>96580</v>
      </c>
      <c r="E36" s="2">
        <v>79460</v>
      </c>
      <c r="F36" s="2">
        <v>39520</v>
      </c>
      <c r="G36" s="3">
        <f t="shared" si="0"/>
        <v>0.49735716083564058</v>
      </c>
      <c r="H36" s="12" t="str">
        <f t="shared" si="1"/>
        <v>behind</v>
      </c>
      <c r="I36" s="2">
        <v>0</v>
      </c>
      <c r="J36" s="2">
        <v>0</v>
      </c>
      <c r="K36" s="9" t="e">
        <f t="shared" si="2"/>
        <v>#DIV/0!</v>
      </c>
      <c r="L36" s="12" t="e">
        <f t="shared" si="3"/>
        <v>#DIV/0!</v>
      </c>
      <c r="M36" s="2">
        <v>56640</v>
      </c>
      <c r="N36" s="2">
        <v>96000</v>
      </c>
      <c r="O36" s="9">
        <f t="shared" si="4"/>
        <v>1.6949152542372881</v>
      </c>
    </row>
    <row r="37" spans="1:15" x14ac:dyDescent="0.25">
      <c r="A37" s="1" t="s">
        <v>601</v>
      </c>
      <c r="B37" s="2">
        <v>0</v>
      </c>
      <c r="C37" s="2">
        <v>0</v>
      </c>
      <c r="D37" s="14">
        <v>0</v>
      </c>
      <c r="E37" s="2">
        <v>0</v>
      </c>
      <c r="F37" s="2">
        <v>0</v>
      </c>
      <c r="G37" s="3" t="e">
        <f t="shared" si="0"/>
        <v>#DIV/0!</v>
      </c>
      <c r="H37" s="12" t="e">
        <f t="shared" si="1"/>
        <v>#DIV/0!</v>
      </c>
      <c r="I37" s="2">
        <v>0</v>
      </c>
      <c r="J37" s="2">
        <v>0</v>
      </c>
      <c r="K37" s="9" t="e">
        <f t="shared" si="2"/>
        <v>#DIV/0!</v>
      </c>
      <c r="L37" s="12" t="e">
        <f t="shared" si="3"/>
        <v>#DIV/0!</v>
      </c>
      <c r="M37" s="2">
        <v>0</v>
      </c>
      <c r="N37" s="2">
        <v>0</v>
      </c>
      <c r="O37" s="9" t="e">
        <f t="shared" si="4"/>
        <v>#DIV/0!</v>
      </c>
    </row>
    <row r="38" spans="1:15" hidden="1" x14ac:dyDescent="0.25">
      <c r="A38" s="1" t="s">
        <v>453</v>
      </c>
      <c r="B38" s="2">
        <v>0</v>
      </c>
      <c r="C38" s="2">
        <v>0</v>
      </c>
      <c r="D38" s="14">
        <v>0</v>
      </c>
      <c r="E38" s="2">
        <v>0</v>
      </c>
      <c r="F38" s="2">
        <v>0</v>
      </c>
      <c r="G38" s="3" t="e">
        <f t="shared" si="0"/>
        <v>#DIV/0!</v>
      </c>
      <c r="H38" s="12" t="e">
        <f t="shared" si="1"/>
        <v>#DIV/0!</v>
      </c>
      <c r="I38" s="2">
        <v>0</v>
      </c>
      <c r="J38" s="2">
        <v>0</v>
      </c>
      <c r="K38" s="9" t="e">
        <f t="shared" si="2"/>
        <v>#DIV/0!</v>
      </c>
      <c r="L38" s="12" t="e">
        <f t="shared" si="3"/>
        <v>#DIV/0!</v>
      </c>
      <c r="M38" s="2">
        <v>0</v>
      </c>
      <c r="N38" s="2">
        <v>0</v>
      </c>
      <c r="O38" s="9" t="e">
        <f t="shared" si="4"/>
        <v>#DIV/0!</v>
      </c>
    </row>
    <row r="39" spans="1:15" x14ac:dyDescent="0.25">
      <c r="A39" s="1" t="s">
        <v>66</v>
      </c>
      <c r="B39" s="2">
        <v>0</v>
      </c>
      <c r="C39" s="2">
        <v>0</v>
      </c>
      <c r="D39" s="14">
        <v>0</v>
      </c>
      <c r="E39" s="2">
        <v>0</v>
      </c>
      <c r="F39" s="2">
        <v>0</v>
      </c>
      <c r="G39" s="3" t="e">
        <f t="shared" si="0"/>
        <v>#DIV/0!</v>
      </c>
      <c r="H39" s="12" t="e">
        <f t="shared" si="1"/>
        <v>#DIV/0!</v>
      </c>
      <c r="I39" s="2">
        <v>0</v>
      </c>
      <c r="J39" s="2">
        <v>0</v>
      </c>
      <c r="K39" s="9" t="e">
        <f t="shared" si="2"/>
        <v>#DIV/0!</v>
      </c>
      <c r="L39" s="12" t="e">
        <f t="shared" si="3"/>
        <v>#DIV/0!</v>
      </c>
      <c r="M39" s="2">
        <v>0</v>
      </c>
      <c r="N39" s="2">
        <v>0</v>
      </c>
      <c r="O39" s="9" t="e">
        <f t="shared" si="4"/>
        <v>#DIV/0!</v>
      </c>
    </row>
    <row r="40" spans="1:15" x14ac:dyDescent="0.25">
      <c r="A40" s="1" t="s">
        <v>565</v>
      </c>
      <c r="B40" s="2">
        <v>38780</v>
      </c>
      <c r="C40" s="2">
        <v>64074</v>
      </c>
      <c r="D40" s="14">
        <v>46606</v>
      </c>
      <c r="E40" s="2">
        <v>33683</v>
      </c>
      <c r="F40" s="2">
        <v>68539</v>
      </c>
      <c r="G40" s="3">
        <f t="shared" si="0"/>
        <v>2.0348246890122614</v>
      </c>
      <c r="H40" s="12" t="str">
        <f t="shared" si="1"/>
        <v>ahead</v>
      </c>
      <c r="I40" s="2">
        <v>2065</v>
      </c>
      <c r="J40" s="2">
        <v>4417</v>
      </c>
      <c r="K40" s="9">
        <f t="shared" si="2"/>
        <v>2.1389830508474574</v>
      </c>
      <c r="L40" s="12" t="str">
        <f t="shared" si="3"/>
        <v>ahead</v>
      </c>
      <c r="M40" s="2">
        <v>80282</v>
      </c>
      <c r="N40" s="2">
        <v>72000</v>
      </c>
      <c r="O40" s="9">
        <f t="shared" si="4"/>
        <v>0.89683864378067313</v>
      </c>
    </row>
    <row r="41" spans="1:15" x14ac:dyDescent="0.25">
      <c r="A41" s="1" t="s">
        <v>451</v>
      </c>
      <c r="B41" s="2">
        <v>206486</v>
      </c>
      <c r="C41" s="2">
        <v>217521</v>
      </c>
      <c r="D41" s="14">
        <v>129560</v>
      </c>
      <c r="E41" s="2">
        <v>111784</v>
      </c>
      <c r="F41" s="2">
        <v>197896</v>
      </c>
      <c r="G41" s="3">
        <f t="shared" si="0"/>
        <v>1.7703428039791025</v>
      </c>
      <c r="H41" s="12" t="str">
        <f t="shared" si="1"/>
        <v>ahead</v>
      </c>
      <c r="I41" s="2">
        <v>16320</v>
      </c>
      <c r="J41" s="2">
        <v>11751</v>
      </c>
      <c r="K41" s="9">
        <f t="shared" si="2"/>
        <v>0.7200367647058824</v>
      </c>
      <c r="L41" s="12" t="str">
        <f t="shared" si="3"/>
        <v>behind</v>
      </c>
      <c r="M41" s="2">
        <v>215672</v>
      </c>
      <c r="N41" s="2">
        <v>210000</v>
      </c>
      <c r="O41" s="9">
        <f t="shared" si="4"/>
        <v>0.97370080492599875</v>
      </c>
    </row>
    <row r="42" spans="1:15" x14ac:dyDescent="0.25">
      <c r="A42" s="1" t="s">
        <v>65</v>
      </c>
      <c r="B42" s="2">
        <v>0</v>
      </c>
      <c r="C42" s="2">
        <v>0</v>
      </c>
      <c r="D42" s="14">
        <v>113260</v>
      </c>
      <c r="E42" s="2">
        <v>66580</v>
      </c>
      <c r="F42" s="2">
        <v>0</v>
      </c>
      <c r="G42" s="3">
        <f t="shared" si="0"/>
        <v>0</v>
      </c>
      <c r="H42" s="12" t="str">
        <f t="shared" si="1"/>
        <v>behind</v>
      </c>
      <c r="I42" s="2">
        <v>14160</v>
      </c>
      <c r="J42" s="2">
        <v>0</v>
      </c>
      <c r="K42" s="9">
        <f t="shared" si="2"/>
        <v>0</v>
      </c>
      <c r="L42" s="12" t="str">
        <f t="shared" si="3"/>
        <v>behind</v>
      </c>
      <c r="M42" s="2">
        <v>46680</v>
      </c>
      <c r="N42" s="2">
        <v>0</v>
      </c>
      <c r="O42" s="9">
        <f t="shared" si="4"/>
        <v>0</v>
      </c>
    </row>
    <row r="43" spans="1:15" x14ac:dyDescent="0.25">
      <c r="A43" s="1" t="s">
        <v>67</v>
      </c>
      <c r="B43" s="2">
        <v>83569</v>
      </c>
      <c r="C43" s="2">
        <v>60007</v>
      </c>
      <c r="D43" s="14">
        <v>52258</v>
      </c>
      <c r="E43" s="2">
        <v>39045</v>
      </c>
      <c r="F43" s="2">
        <v>37109</v>
      </c>
      <c r="G43" s="3">
        <f t="shared" si="0"/>
        <v>0.95041618645153025</v>
      </c>
      <c r="H43" s="12" t="str">
        <f t="shared" si="1"/>
        <v>behind</v>
      </c>
      <c r="I43" s="2">
        <v>0</v>
      </c>
      <c r="J43" s="2">
        <v>8499</v>
      </c>
      <c r="K43" s="9" t="e">
        <f t="shared" si="2"/>
        <v>#DIV/0!</v>
      </c>
      <c r="L43" s="12" t="e">
        <f t="shared" si="3"/>
        <v>#DIV/0!</v>
      </c>
      <c r="M43" s="2">
        <v>50322</v>
      </c>
      <c r="N43" s="2">
        <v>52000</v>
      </c>
      <c r="O43" s="9">
        <f t="shared" si="4"/>
        <v>1.033345256547832</v>
      </c>
    </row>
    <row r="44" spans="1:15" hidden="1" x14ac:dyDescent="0.25">
      <c r="A44" s="1" t="s">
        <v>463</v>
      </c>
      <c r="B44" s="2">
        <v>0</v>
      </c>
      <c r="C44" s="2">
        <v>0</v>
      </c>
      <c r="D44" s="14">
        <v>0</v>
      </c>
      <c r="E44" s="2">
        <v>0</v>
      </c>
      <c r="F44" s="2">
        <v>0</v>
      </c>
      <c r="G44" s="3" t="e">
        <f t="shared" si="0"/>
        <v>#DIV/0!</v>
      </c>
      <c r="H44" s="12" t="e">
        <f t="shared" si="1"/>
        <v>#DIV/0!</v>
      </c>
      <c r="I44" s="2">
        <v>0</v>
      </c>
      <c r="J44" s="2">
        <v>0</v>
      </c>
      <c r="K44" s="9" t="e">
        <f t="shared" si="2"/>
        <v>#DIV/0!</v>
      </c>
      <c r="L44" s="12" t="e">
        <f t="shared" si="3"/>
        <v>#DIV/0!</v>
      </c>
      <c r="M44" s="2">
        <v>0</v>
      </c>
      <c r="N44" s="2">
        <v>0</v>
      </c>
      <c r="O44" s="9" t="e">
        <f t="shared" si="4"/>
        <v>#DIV/0!</v>
      </c>
    </row>
    <row r="45" spans="1:15" x14ac:dyDescent="0.25">
      <c r="A45" s="1" t="s">
        <v>452</v>
      </c>
      <c r="B45" s="2">
        <v>44210</v>
      </c>
      <c r="C45" s="2">
        <v>58424</v>
      </c>
      <c r="D45" s="14">
        <v>61720</v>
      </c>
      <c r="E45" s="2">
        <v>59397</v>
      </c>
      <c r="F45" s="2">
        <v>38989</v>
      </c>
      <c r="G45" s="3">
        <f t="shared" si="0"/>
        <v>0.65641362358368271</v>
      </c>
      <c r="H45" s="12" t="str">
        <f t="shared" si="1"/>
        <v>behind</v>
      </c>
      <c r="I45" s="2">
        <v>21203</v>
      </c>
      <c r="J45" s="2">
        <v>1111</v>
      </c>
      <c r="K45" s="9">
        <f t="shared" si="2"/>
        <v>5.2398245531292742E-2</v>
      </c>
      <c r="L45" s="12" t="str">
        <f t="shared" si="3"/>
        <v>behind</v>
      </c>
      <c r="M45" s="2">
        <v>41312</v>
      </c>
      <c r="N45" s="2">
        <v>56000</v>
      </c>
      <c r="O45" s="9">
        <f t="shared" si="4"/>
        <v>1.3555383423702556</v>
      </c>
    </row>
    <row r="46" spans="1:15" x14ac:dyDescent="0.25">
      <c r="A46" s="1" t="s">
        <v>57</v>
      </c>
      <c r="B46" s="2">
        <v>76019</v>
      </c>
      <c r="C46" s="2">
        <v>17060</v>
      </c>
      <c r="D46" s="14">
        <v>22450</v>
      </c>
      <c r="E46" s="2">
        <v>16740</v>
      </c>
      <c r="F46" s="2">
        <v>3760</v>
      </c>
      <c r="G46" s="3">
        <f t="shared" si="0"/>
        <v>0.22461170848267623</v>
      </c>
      <c r="H46" s="12" t="str">
        <f t="shared" si="1"/>
        <v>behind</v>
      </c>
      <c r="I46" s="2">
        <v>0</v>
      </c>
      <c r="J46" s="2">
        <v>0</v>
      </c>
      <c r="K46" s="9" t="e">
        <f t="shared" si="2"/>
        <v>#DIV/0!</v>
      </c>
      <c r="L46" s="12" t="e">
        <f t="shared" si="3"/>
        <v>#DIV/0!</v>
      </c>
      <c r="M46" s="2">
        <v>9470</v>
      </c>
      <c r="N46" s="2">
        <v>20000</v>
      </c>
      <c r="O46" s="9">
        <f t="shared" si="4"/>
        <v>2.1119324181626187</v>
      </c>
    </row>
    <row r="47" spans="1:15" hidden="1" x14ac:dyDescent="0.25">
      <c r="A47" s="1" t="s">
        <v>454</v>
      </c>
      <c r="B47" s="2">
        <v>0</v>
      </c>
      <c r="C47" s="2">
        <v>0</v>
      </c>
      <c r="D47" s="14">
        <v>0</v>
      </c>
      <c r="E47" s="2">
        <v>0</v>
      </c>
      <c r="F47" s="2">
        <v>0</v>
      </c>
      <c r="G47" s="3" t="e">
        <f t="shared" si="0"/>
        <v>#DIV/0!</v>
      </c>
      <c r="H47" s="12" t="e">
        <f t="shared" si="1"/>
        <v>#DIV/0!</v>
      </c>
      <c r="I47" s="2">
        <v>0</v>
      </c>
      <c r="J47" s="2">
        <v>0</v>
      </c>
      <c r="K47" s="9" t="e">
        <f t="shared" si="2"/>
        <v>#DIV/0!</v>
      </c>
      <c r="L47" s="12" t="e">
        <f t="shared" si="3"/>
        <v>#DIV/0!</v>
      </c>
      <c r="M47" s="2">
        <v>0</v>
      </c>
      <c r="N47" s="2">
        <v>0</v>
      </c>
      <c r="O47" s="9" t="e">
        <f t="shared" si="4"/>
        <v>#DIV/0!</v>
      </c>
    </row>
    <row r="48" spans="1:15" x14ac:dyDescent="0.25">
      <c r="A48" s="1" t="s">
        <v>602</v>
      </c>
      <c r="B48" s="2">
        <v>0</v>
      </c>
      <c r="C48" s="2">
        <v>0</v>
      </c>
      <c r="D48" s="14">
        <v>0</v>
      </c>
      <c r="E48" s="2">
        <v>0</v>
      </c>
      <c r="F48" s="2">
        <v>0</v>
      </c>
      <c r="G48" s="3" t="e">
        <f t="shared" si="0"/>
        <v>#DIV/0!</v>
      </c>
      <c r="H48" s="12" t="e">
        <f t="shared" si="1"/>
        <v>#DIV/0!</v>
      </c>
      <c r="I48" s="2">
        <v>0</v>
      </c>
      <c r="J48" s="2">
        <v>0</v>
      </c>
      <c r="K48" s="9" t="e">
        <f t="shared" si="2"/>
        <v>#DIV/0!</v>
      </c>
      <c r="L48" s="12" t="e">
        <f t="shared" si="3"/>
        <v>#DIV/0!</v>
      </c>
      <c r="M48" s="2">
        <v>0</v>
      </c>
      <c r="N48" s="2">
        <v>0</v>
      </c>
      <c r="O48" s="9" t="e">
        <f t="shared" si="4"/>
        <v>#DIV/0!</v>
      </c>
    </row>
    <row r="49" spans="1:15" hidden="1" x14ac:dyDescent="0.25">
      <c r="A49" s="1" t="s">
        <v>603</v>
      </c>
      <c r="B49" s="2">
        <v>0</v>
      </c>
      <c r="C49" s="2">
        <v>0</v>
      </c>
      <c r="D49" s="14">
        <v>0</v>
      </c>
      <c r="E49" s="2">
        <v>0</v>
      </c>
      <c r="F49" s="2">
        <v>0</v>
      </c>
      <c r="G49" s="3" t="e">
        <f t="shared" si="0"/>
        <v>#DIV/0!</v>
      </c>
      <c r="H49" s="12" t="e">
        <f t="shared" si="1"/>
        <v>#DIV/0!</v>
      </c>
      <c r="I49" s="2">
        <v>0</v>
      </c>
      <c r="J49" s="2">
        <v>0</v>
      </c>
      <c r="K49" s="9" t="e">
        <f t="shared" si="2"/>
        <v>#DIV/0!</v>
      </c>
      <c r="L49" s="12" t="e">
        <f t="shared" si="3"/>
        <v>#DIV/0!</v>
      </c>
      <c r="M49" s="2">
        <v>0</v>
      </c>
      <c r="N49" s="2">
        <v>0</v>
      </c>
      <c r="O49" s="9" t="e">
        <f t="shared" si="4"/>
        <v>#DIV/0!</v>
      </c>
    </row>
    <row r="50" spans="1:15" hidden="1" x14ac:dyDescent="0.25">
      <c r="A50" s="1" t="s">
        <v>520</v>
      </c>
      <c r="B50" s="2">
        <v>0</v>
      </c>
      <c r="C50" s="2">
        <v>0</v>
      </c>
      <c r="D50" s="14">
        <v>0</v>
      </c>
      <c r="E50" s="2">
        <v>0</v>
      </c>
      <c r="F50" s="2">
        <v>0</v>
      </c>
      <c r="G50" s="3" t="e">
        <f t="shared" si="0"/>
        <v>#DIV/0!</v>
      </c>
      <c r="H50" s="12" t="e">
        <f t="shared" si="1"/>
        <v>#DIV/0!</v>
      </c>
      <c r="I50" s="2">
        <v>0</v>
      </c>
      <c r="J50" s="2">
        <v>0</v>
      </c>
      <c r="K50" s="9" t="e">
        <f t="shared" si="2"/>
        <v>#DIV/0!</v>
      </c>
      <c r="L50" s="12" t="e">
        <f t="shared" si="3"/>
        <v>#DIV/0!</v>
      </c>
      <c r="M50" s="2">
        <v>0</v>
      </c>
      <c r="N50" s="2">
        <v>0</v>
      </c>
      <c r="O50" s="9" t="e">
        <f t="shared" si="4"/>
        <v>#DIV/0!</v>
      </c>
    </row>
    <row r="51" spans="1:15" x14ac:dyDescent="0.25">
      <c r="A51" s="1" t="s">
        <v>459</v>
      </c>
      <c r="B51" s="2">
        <v>93527</v>
      </c>
      <c r="C51" s="2">
        <v>18862</v>
      </c>
      <c r="D51" s="14">
        <v>0</v>
      </c>
      <c r="E51" s="2">
        <v>0</v>
      </c>
      <c r="F51" s="2">
        <v>0</v>
      </c>
      <c r="G51" s="3" t="e">
        <f t="shared" si="0"/>
        <v>#DIV/0!</v>
      </c>
      <c r="H51" s="12" t="e">
        <f t="shared" si="1"/>
        <v>#DIV/0!</v>
      </c>
      <c r="I51" s="2">
        <v>0</v>
      </c>
      <c r="J51" s="2">
        <v>0</v>
      </c>
      <c r="K51" s="9" t="e">
        <f t="shared" si="2"/>
        <v>#DIV/0!</v>
      </c>
      <c r="L51" s="12" t="e">
        <f t="shared" si="3"/>
        <v>#DIV/0!</v>
      </c>
      <c r="M51" s="2">
        <v>0</v>
      </c>
      <c r="N51" s="2">
        <v>0</v>
      </c>
      <c r="O51" s="9" t="e">
        <f t="shared" si="4"/>
        <v>#DIV/0!</v>
      </c>
    </row>
    <row r="52" spans="1:15" x14ac:dyDescent="0.25">
      <c r="A52" s="1" t="s">
        <v>460</v>
      </c>
      <c r="B52" s="2">
        <v>1812769</v>
      </c>
      <c r="C52" s="2">
        <v>1879469</v>
      </c>
      <c r="D52" s="14">
        <v>1229214</v>
      </c>
      <c r="E52" s="2">
        <v>955128</v>
      </c>
      <c r="F52" s="2">
        <v>786208</v>
      </c>
      <c r="G52" s="3">
        <f t="shared" si="0"/>
        <v>0.82314412309135532</v>
      </c>
      <c r="H52" s="12" t="str">
        <f t="shared" si="1"/>
        <v>behind</v>
      </c>
      <c r="I52" s="2">
        <v>122417</v>
      </c>
      <c r="J52" s="2">
        <v>154934</v>
      </c>
      <c r="K52" s="9">
        <f t="shared" si="2"/>
        <v>1.2656248723624988</v>
      </c>
      <c r="L52" s="12" t="str">
        <f t="shared" si="3"/>
        <v>ahead</v>
      </c>
      <c r="M52" s="2">
        <v>1070913</v>
      </c>
      <c r="N52" s="2">
        <v>1283000</v>
      </c>
      <c r="O52" s="9">
        <f t="shared" si="4"/>
        <v>1.1980431650376828</v>
      </c>
    </row>
    <row r="53" spans="1:15" x14ac:dyDescent="0.25">
      <c r="A53" s="1" t="s">
        <v>583</v>
      </c>
      <c r="B53" s="2">
        <v>536351</v>
      </c>
      <c r="C53" s="2">
        <v>481955</v>
      </c>
      <c r="D53" s="14">
        <v>419254</v>
      </c>
      <c r="E53" s="2">
        <v>320994</v>
      </c>
      <c r="F53" s="2">
        <v>408597</v>
      </c>
      <c r="G53" s="3">
        <f t="shared" si="0"/>
        <v>1.2729116432082843</v>
      </c>
      <c r="H53" s="12" t="str">
        <f t="shared" si="1"/>
        <v>ahead</v>
      </c>
      <c r="I53" s="2">
        <v>23397</v>
      </c>
      <c r="J53" s="2">
        <v>40607</v>
      </c>
      <c r="K53" s="9">
        <f t="shared" si="2"/>
        <v>1.7355643885968286</v>
      </c>
      <c r="L53" s="12" t="str">
        <f t="shared" si="3"/>
        <v>ahead</v>
      </c>
      <c r="M53" s="2">
        <v>506857</v>
      </c>
      <c r="N53" s="2">
        <v>531000</v>
      </c>
      <c r="O53" s="9">
        <f t="shared" si="4"/>
        <v>1.0476327642707903</v>
      </c>
    </row>
    <row r="54" spans="1:15" x14ac:dyDescent="0.25">
      <c r="A54" s="1" t="s">
        <v>458</v>
      </c>
      <c r="B54" s="2">
        <v>0</v>
      </c>
      <c r="C54" s="2">
        <v>0</v>
      </c>
      <c r="D54" s="14">
        <v>0</v>
      </c>
      <c r="E54" s="2">
        <v>0</v>
      </c>
      <c r="F54" s="2">
        <v>0</v>
      </c>
      <c r="G54" s="3" t="e">
        <f t="shared" si="0"/>
        <v>#DIV/0!</v>
      </c>
      <c r="H54" s="12" t="e">
        <f t="shared" si="1"/>
        <v>#DIV/0!</v>
      </c>
      <c r="I54" s="2">
        <v>0</v>
      </c>
      <c r="J54" s="2">
        <v>0</v>
      </c>
      <c r="K54" s="9" t="e">
        <f t="shared" si="2"/>
        <v>#DIV/0!</v>
      </c>
      <c r="L54" s="12" t="e">
        <f t="shared" si="3"/>
        <v>#DIV/0!</v>
      </c>
      <c r="M54" s="2">
        <v>0</v>
      </c>
      <c r="N54" s="2">
        <v>0</v>
      </c>
      <c r="O54" s="9" t="e">
        <f t="shared" si="4"/>
        <v>#DIV/0!</v>
      </c>
    </row>
    <row r="55" spans="1:15" x14ac:dyDescent="0.25">
      <c r="A55" s="1" t="s">
        <v>455</v>
      </c>
      <c r="B55" s="2">
        <v>162807</v>
      </c>
      <c r="C55" s="2">
        <v>228955</v>
      </c>
      <c r="D55" s="14">
        <v>170343</v>
      </c>
      <c r="E55" s="2">
        <v>134335</v>
      </c>
      <c r="F55" s="2">
        <v>106288</v>
      </c>
      <c r="G55" s="3">
        <f t="shared" si="0"/>
        <v>0.79121598987605612</v>
      </c>
      <c r="H55" s="12" t="str">
        <f t="shared" si="1"/>
        <v>behind</v>
      </c>
      <c r="I55" s="2">
        <v>12580</v>
      </c>
      <c r="J55" s="2">
        <v>5398</v>
      </c>
      <c r="K55" s="9">
        <f t="shared" si="2"/>
        <v>0.42909379968203498</v>
      </c>
      <c r="L55" s="12" t="str">
        <f t="shared" si="3"/>
        <v>behind</v>
      </c>
      <c r="M55" s="2">
        <v>142296</v>
      </c>
      <c r="N55" s="2">
        <v>157000</v>
      </c>
      <c r="O55" s="9">
        <f t="shared" si="4"/>
        <v>1.1033338955416878</v>
      </c>
    </row>
    <row r="56" spans="1:15" x14ac:dyDescent="0.25">
      <c r="A56" s="1" t="s">
        <v>604</v>
      </c>
      <c r="B56" s="2">
        <v>1000</v>
      </c>
      <c r="C56" s="2">
        <v>0</v>
      </c>
      <c r="D56" s="14">
        <v>0</v>
      </c>
      <c r="E56" s="2">
        <v>0</v>
      </c>
      <c r="F56" s="2">
        <v>0</v>
      </c>
      <c r="G56" s="3" t="e">
        <f t="shared" si="0"/>
        <v>#DIV/0!</v>
      </c>
      <c r="H56" s="12" t="e">
        <f t="shared" si="1"/>
        <v>#DIV/0!</v>
      </c>
      <c r="I56" s="2">
        <v>0</v>
      </c>
      <c r="J56" s="2">
        <v>0</v>
      </c>
      <c r="K56" s="9" t="e">
        <f t="shared" si="2"/>
        <v>#DIV/0!</v>
      </c>
      <c r="L56" s="12" t="e">
        <f t="shared" si="3"/>
        <v>#DIV/0!</v>
      </c>
      <c r="M56" s="2">
        <v>0</v>
      </c>
      <c r="N56" s="2">
        <v>0</v>
      </c>
      <c r="O56" s="9" t="e">
        <f t="shared" si="4"/>
        <v>#DIV/0!</v>
      </c>
    </row>
    <row r="57" spans="1:15" x14ac:dyDescent="0.25">
      <c r="A57" s="1" t="s">
        <v>605</v>
      </c>
      <c r="B57" s="2">
        <v>0</v>
      </c>
      <c r="C57" s="2">
        <v>0</v>
      </c>
      <c r="D57" s="14">
        <v>0</v>
      </c>
      <c r="E57" s="2">
        <v>0</v>
      </c>
      <c r="F57" s="2">
        <v>0</v>
      </c>
      <c r="G57" s="3" t="e">
        <f t="shared" si="0"/>
        <v>#DIV/0!</v>
      </c>
      <c r="H57" s="12" t="e">
        <f t="shared" si="1"/>
        <v>#DIV/0!</v>
      </c>
      <c r="I57" s="2">
        <v>0</v>
      </c>
      <c r="J57" s="2">
        <v>0</v>
      </c>
      <c r="K57" s="9" t="e">
        <f t="shared" si="2"/>
        <v>#DIV/0!</v>
      </c>
      <c r="L57" s="12" t="e">
        <f t="shared" si="3"/>
        <v>#DIV/0!</v>
      </c>
      <c r="M57" s="2">
        <v>0</v>
      </c>
      <c r="N57" s="2">
        <v>0</v>
      </c>
      <c r="O57" s="9" t="e">
        <f t="shared" si="4"/>
        <v>#DIV/0!</v>
      </c>
    </row>
    <row r="58" spans="1:15" x14ac:dyDescent="0.25">
      <c r="A58" s="4" t="s">
        <v>584</v>
      </c>
      <c r="B58" s="2">
        <v>19242</v>
      </c>
      <c r="C58" s="2">
        <v>11352</v>
      </c>
      <c r="D58" s="14">
        <v>0</v>
      </c>
      <c r="E58" s="2">
        <v>0</v>
      </c>
      <c r="F58" s="2">
        <v>0</v>
      </c>
      <c r="G58" s="3" t="e">
        <f t="shared" si="0"/>
        <v>#DIV/0!</v>
      </c>
      <c r="H58" s="12" t="e">
        <f t="shared" si="1"/>
        <v>#DIV/0!</v>
      </c>
      <c r="I58" s="2">
        <v>0</v>
      </c>
      <c r="J58" s="2">
        <v>0</v>
      </c>
      <c r="K58" s="9" t="e">
        <f t="shared" si="2"/>
        <v>#DIV/0!</v>
      </c>
      <c r="L58" s="12" t="e">
        <f t="shared" si="3"/>
        <v>#DIV/0!</v>
      </c>
      <c r="M58" s="2">
        <v>0</v>
      </c>
      <c r="N58" s="2">
        <v>0</v>
      </c>
      <c r="O58" s="9" t="e">
        <f t="shared" si="4"/>
        <v>#DIV/0!</v>
      </c>
    </row>
    <row r="59" spans="1:15" hidden="1" x14ac:dyDescent="0.25">
      <c r="A59" s="4" t="s">
        <v>80</v>
      </c>
      <c r="B59" s="2">
        <v>0</v>
      </c>
      <c r="C59" s="2">
        <v>0</v>
      </c>
      <c r="D59" s="14">
        <v>0</v>
      </c>
      <c r="E59" s="2">
        <v>0</v>
      </c>
      <c r="F59" s="2">
        <v>0</v>
      </c>
      <c r="G59" s="3" t="e">
        <f t="shared" si="0"/>
        <v>#DIV/0!</v>
      </c>
      <c r="H59" s="12" t="e">
        <f t="shared" si="1"/>
        <v>#DIV/0!</v>
      </c>
      <c r="I59" s="2">
        <v>0</v>
      </c>
      <c r="J59" s="2">
        <v>0</v>
      </c>
      <c r="K59" s="9" t="e">
        <f t="shared" si="2"/>
        <v>#DIV/0!</v>
      </c>
      <c r="L59" s="12" t="e">
        <f t="shared" si="3"/>
        <v>#DIV/0!</v>
      </c>
      <c r="M59" s="2">
        <v>0</v>
      </c>
      <c r="N59" s="2">
        <v>0</v>
      </c>
      <c r="O59" s="9" t="e">
        <f t="shared" si="4"/>
        <v>#DIV/0!</v>
      </c>
    </row>
    <row r="60" spans="1:15" x14ac:dyDescent="0.25">
      <c r="E60" s="2"/>
      <c r="G60" s="3"/>
      <c r="M60" s="2">
        <v>0</v>
      </c>
      <c r="N60" s="2">
        <v>0</v>
      </c>
      <c r="O60" s="9" t="e">
        <f t="shared" si="4"/>
        <v>#DIV/0!</v>
      </c>
    </row>
    <row r="61" spans="1:15" x14ac:dyDescent="0.25">
      <c r="A61" s="1" t="s">
        <v>132</v>
      </c>
      <c r="B61" s="2">
        <f>SUM(B3:B60)</f>
        <v>16187946</v>
      </c>
      <c r="C61" s="2">
        <f>SUM(C3:C60)</f>
        <v>15414305</v>
      </c>
      <c r="D61" s="14">
        <f>SUM(D3:D60)</f>
        <v>12239874</v>
      </c>
      <c r="E61" s="2">
        <f>SUM(E3:E60)</f>
        <v>9997265</v>
      </c>
      <c r="F61" s="2">
        <f>SUM(F3:F60)</f>
        <v>9094138.5</v>
      </c>
      <c r="G61" s="3">
        <f t="shared" si="0"/>
        <v>0.90966264273278741</v>
      </c>
      <c r="H61" s="12" t="str">
        <f t="shared" si="1"/>
        <v>behind</v>
      </c>
      <c r="I61" s="2">
        <f>SUM(I3:I60)</f>
        <v>1069326</v>
      </c>
      <c r="J61" s="2">
        <f>SUM(J3:J60)</f>
        <v>1073713.5</v>
      </c>
      <c r="K61" s="3">
        <f>J61/I61</f>
        <v>1.0041030518289091</v>
      </c>
      <c r="L61" s="12" t="str">
        <f>IF(K61&lt;0.96,"behind",IF(K61&gt;1.04,"ahead","on track"))</f>
        <v>on track</v>
      </c>
    </row>
    <row r="63" spans="1:15" x14ac:dyDescent="0.25">
      <c r="C63" s="9">
        <f>C61/B61</f>
        <v>0.95220882253993189</v>
      </c>
      <c r="D63" s="24">
        <f>D61/C61</f>
        <v>0.79405941429081628</v>
      </c>
    </row>
  </sheetData>
  <mergeCells count="3">
    <mergeCell ref="I1:L1"/>
    <mergeCell ref="B1:D1"/>
    <mergeCell ref="E1:H1"/>
  </mergeCells>
  <phoneticPr fontId="0" type="noConversion"/>
  <pageMargins left="0.25" right="0.25" top="1" bottom="1" header="0.5" footer="0.5"/>
  <pageSetup scale="7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8D38-884C-434D-9BEF-27F6B5E62357}">
  <dimension ref="A1:O65"/>
  <sheetViews>
    <sheetView zoomScale="75" zoomScaleNormal="75" workbookViewId="0">
      <pane xSplit="4" ySplit="2" topLeftCell="E3" activePane="bottomRight" state="frozen"/>
      <selection pane="topRight" activeCell="E1" sqref="E1"/>
      <selection pane="bottomLeft" activeCell="A3" sqref="A3"/>
      <selection pane="bottomRight" activeCell="J3" sqref="J3"/>
    </sheetView>
  </sheetViews>
  <sheetFormatPr defaultRowHeight="13.2" x14ac:dyDescent="0.25"/>
  <cols>
    <col min="1" max="1" width="17.5546875" customWidth="1"/>
    <col min="2" max="3" width="11.21875" bestFit="1" customWidth="1"/>
    <col min="4" max="4" width="11.44140625" style="16" customWidth="1"/>
    <col min="5" max="6" width="11.21875" bestFit="1" customWidth="1"/>
    <col min="7" max="7" width="9.21875" customWidth="1"/>
    <col min="8" max="8" width="11.44140625" style="16" customWidth="1"/>
    <col min="9" max="10" width="13.77734375" customWidth="1"/>
    <col min="11" max="11" width="9.21875" customWidth="1"/>
    <col min="12" max="12" width="11.44140625" style="16" customWidth="1"/>
    <col min="13" max="13" width="13.21875" bestFit="1" customWidth="1"/>
    <col min="14" max="14" width="11.21875" bestFit="1" customWidth="1"/>
  </cols>
  <sheetData>
    <row r="1" spans="1:15" x14ac:dyDescent="0.25">
      <c r="A1" s="17" t="s">
        <v>353</v>
      </c>
      <c r="B1" s="52" t="s">
        <v>190</v>
      </c>
      <c r="C1" s="52"/>
      <c r="D1" s="52"/>
      <c r="E1" s="52" t="s">
        <v>191</v>
      </c>
      <c r="F1" s="52"/>
      <c r="G1" s="52"/>
      <c r="H1" s="52"/>
      <c r="I1" s="51" t="s">
        <v>192</v>
      </c>
      <c r="J1" s="51"/>
      <c r="K1" s="51"/>
      <c r="L1" s="51"/>
    </row>
    <row r="2" spans="1:15" s="22" customFormat="1" ht="52.8" x14ac:dyDescent="0.25">
      <c r="A2" s="5" t="s">
        <v>566</v>
      </c>
      <c r="B2" s="6" t="s">
        <v>567</v>
      </c>
      <c r="C2" s="6" t="s">
        <v>568</v>
      </c>
      <c r="D2" s="13" t="s">
        <v>6</v>
      </c>
      <c r="E2" s="19" t="s">
        <v>437</v>
      </c>
      <c r="F2" s="6" t="s">
        <v>447</v>
      </c>
      <c r="G2" s="6" t="s">
        <v>438</v>
      </c>
      <c r="H2" s="20" t="s">
        <v>439</v>
      </c>
      <c r="I2" s="8" t="s">
        <v>556</v>
      </c>
      <c r="J2" s="8" t="s">
        <v>555</v>
      </c>
      <c r="K2" s="21" t="s">
        <v>200</v>
      </c>
      <c r="L2" s="20" t="s">
        <v>439</v>
      </c>
      <c r="M2" s="8" t="s">
        <v>389</v>
      </c>
      <c r="N2" s="8" t="s">
        <v>358</v>
      </c>
      <c r="O2" s="8" t="s">
        <v>359</v>
      </c>
    </row>
    <row r="3" spans="1:15" x14ac:dyDescent="0.25">
      <c r="A3" s="4" t="s">
        <v>514</v>
      </c>
      <c r="B3" s="2">
        <v>0</v>
      </c>
      <c r="C3" s="2">
        <v>0</v>
      </c>
      <c r="D3" s="14">
        <v>0</v>
      </c>
      <c r="E3" s="2">
        <v>0</v>
      </c>
      <c r="F3" s="2">
        <v>0</v>
      </c>
      <c r="G3" s="3" t="e">
        <f>F3/E3</f>
        <v>#DIV/0!</v>
      </c>
      <c r="H3" s="12" t="e">
        <f>IF(G3&lt;0.96,"behind",IF(G3&gt;1.04,"ahead","on track"))</f>
        <v>#DIV/0!</v>
      </c>
      <c r="I3" s="2">
        <v>0</v>
      </c>
      <c r="J3" s="2">
        <v>0</v>
      </c>
      <c r="K3" s="9" t="e">
        <f>J3/I3</f>
        <v>#DIV/0!</v>
      </c>
      <c r="L3" s="12" t="e">
        <f>IF(K3&lt;0.96,"behind",IF(K3&gt;1.04,"ahead","on track"))</f>
        <v>#DIV/0!</v>
      </c>
      <c r="M3" s="2">
        <v>0</v>
      </c>
      <c r="N3" s="2">
        <v>0</v>
      </c>
      <c r="O3" s="25" t="e">
        <f>N3/M3</f>
        <v>#DIV/0!</v>
      </c>
    </row>
    <row r="4" spans="1:15" x14ac:dyDescent="0.25">
      <c r="A4" s="1" t="s">
        <v>515</v>
      </c>
      <c r="B4" s="2">
        <v>145138</v>
      </c>
      <c r="C4" s="2">
        <v>138943</v>
      </c>
      <c r="D4" s="14">
        <v>142208</v>
      </c>
      <c r="E4" s="2">
        <v>110929</v>
      </c>
      <c r="F4" s="2">
        <v>101272</v>
      </c>
      <c r="G4" s="3">
        <f t="shared" ref="G4:G18" si="0">F4/E4</f>
        <v>0.91294431573348722</v>
      </c>
      <c r="H4" s="12" t="str">
        <f t="shared" ref="H4:H61" si="1">IF(G4&lt;0.96,"behind",IF(G4&gt;1.04,"ahead","on track"))</f>
        <v>behind</v>
      </c>
      <c r="I4" s="2">
        <v>13917</v>
      </c>
      <c r="J4" s="2">
        <v>9832</v>
      </c>
      <c r="K4" s="9">
        <f t="shared" ref="K4:K59" si="2">J4/I4</f>
        <v>0.70647409642882808</v>
      </c>
      <c r="L4" s="12" t="str">
        <f t="shared" ref="L4:L59" si="3">IF(K4&lt;0.96,"behind",IF(K4&gt;1.04,"ahead","on track"))</f>
        <v>behind</v>
      </c>
      <c r="M4" s="2">
        <v>132551</v>
      </c>
      <c r="N4" s="2">
        <v>145000</v>
      </c>
      <c r="O4" s="25">
        <f t="shared" ref="O4:O58" si="4">N4/M4</f>
        <v>1.093918567193005</v>
      </c>
    </row>
    <row r="5" spans="1:15" x14ac:dyDescent="0.25">
      <c r="A5" s="1" t="s">
        <v>516</v>
      </c>
      <c r="B5" s="2">
        <v>0</v>
      </c>
      <c r="C5" s="2">
        <v>0</v>
      </c>
      <c r="D5" s="14">
        <v>0</v>
      </c>
      <c r="E5" s="2">
        <v>0</v>
      </c>
      <c r="F5" s="2">
        <v>0</v>
      </c>
      <c r="G5" s="3" t="e">
        <f t="shared" si="0"/>
        <v>#DIV/0!</v>
      </c>
      <c r="H5" s="12" t="e">
        <f t="shared" si="1"/>
        <v>#DIV/0!</v>
      </c>
      <c r="I5" s="2">
        <v>0</v>
      </c>
      <c r="J5" s="2">
        <v>0</v>
      </c>
      <c r="K5" s="9" t="e">
        <f t="shared" si="2"/>
        <v>#DIV/0!</v>
      </c>
      <c r="L5" s="12" t="e">
        <f t="shared" si="3"/>
        <v>#DIV/0!</v>
      </c>
      <c r="M5" s="2">
        <v>0</v>
      </c>
      <c r="N5" s="2">
        <v>0</v>
      </c>
      <c r="O5" s="25" t="e">
        <f t="shared" si="4"/>
        <v>#DIV/0!</v>
      </c>
    </row>
    <row r="6" spans="1:15" x14ac:dyDescent="0.25">
      <c r="A6" s="1" t="s">
        <v>517</v>
      </c>
      <c r="B6" s="2">
        <v>4450</v>
      </c>
      <c r="C6" s="2">
        <v>0</v>
      </c>
      <c r="D6" s="14">
        <v>0</v>
      </c>
      <c r="E6" s="2">
        <v>0</v>
      </c>
      <c r="F6" s="2">
        <v>0</v>
      </c>
      <c r="G6" s="3" t="e">
        <f t="shared" si="0"/>
        <v>#DIV/0!</v>
      </c>
      <c r="H6" s="12" t="e">
        <f t="shared" si="1"/>
        <v>#DIV/0!</v>
      </c>
      <c r="I6" s="2">
        <v>0</v>
      </c>
      <c r="J6" s="2">
        <v>0</v>
      </c>
      <c r="K6" s="9" t="e">
        <f t="shared" si="2"/>
        <v>#DIV/0!</v>
      </c>
      <c r="L6" s="12" t="e">
        <f t="shared" si="3"/>
        <v>#DIV/0!</v>
      </c>
      <c r="M6" s="2">
        <v>0</v>
      </c>
      <c r="N6" s="2">
        <v>0</v>
      </c>
      <c r="O6" s="25" t="e">
        <f t="shared" si="4"/>
        <v>#DIV/0!</v>
      </c>
    </row>
    <row r="7" spans="1:15" x14ac:dyDescent="0.25">
      <c r="A7" s="1" t="s">
        <v>518</v>
      </c>
      <c r="B7" s="2">
        <v>0</v>
      </c>
      <c r="C7" s="2">
        <v>0</v>
      </c>
      <c r="D7" s="14">
        <v>0</v>
      </c>
      <c r="E7" s="2">
        <v>0</v>
      </c>
      <c r="F7" s="2">
        <v>0</v>
      </c>
      <c r="G7" s="3" t="e">
        <f t="shared" si="0"/>
        <v>#DIV/0!</v>
      </c>
      <c r="H7" s="12" t="e">
        <f t="shared" si="1"/>
        <v>#DIV/0!</v>
      </c>
      <c r="I7" s="2">
        <v>0</v>
      </c>
      <c r="J7" s="2">
        <v>0</v>
      </c>
      <c r="K7" s="9" t="e">
        <f t="shared" si="2"/>
        <v>#DIV/0!</v>
      </c>
      <c r="L7" s="12" t="e">
        <f t="shared" si="3"/>
        <v>#DIV/0!</v>
      </c>
      <c r="M7" s="2">
        <v>0</v>
      </c>
      <c r="N7" s="2">
        <v>0</v>
      </c>
      <c r="O7" s="25" t="e">
        <f t="shared" si="4"/>
        <v>#DIV/0!</v>
      </c>
    </row>
    <row r="8" spans="1:15" hidden="1" x14ac:dyDescent="0.25">
      <c r="A8" s="1" t="s">
        <v>282</v>
      </c>
      <c r="B8" s="2">
        <v>1000</v>
      </c>
      <c r="C8" s="2">
        <v>0</v>
      </c>
      <c r="D8" s="14">
        <v>0</v>
      </c>
      <c r="E8" s="2">
        <v>0</v>
      </c>
      <c r="F8" s="2">
        <v>0</v>
      </c>
      <c r="G8" s="3" t="e">
        <f t="shared" si="0"/>
        <v>#DIV/0!</v>
      </c>
      <c r="H8" s="12" t="e">
        <f t="shared" si="1"/>
        <v>#DIV/0!</v>
      </c>
      <c r="I8" s="2">
        <v>0</v>
      </c>
      <c r="J8" s="2">
        <v>0</v>
      </c>
      <c r="K8" s="9" t="e">
        <f t="shared" si="2"/>
        <v>#DIV/0!</v>
      </c>
      <c r="L8" s="12" t="e">
        <f t="shared" si="3"/>
        <v>#DIV/0!</v>
      </c>
      <c r="M8" s="2">
        <v>0</v>
      </c>
      <c r="N8" s="2">
        <v>0</v>
      </c>
      <c r="O8" s="25" t="e">
        <f t="shared" si="4"/>
        <v>#DIV/0!</v>
      </c>
    </row>
    <row r="9" spans="1:15" hidden="1" x14ac:dyDescent="0.25">
      <c r="A9" s="1" t="s">
        <v>283</v>
      </c>
      <c r="B9" s="2">
        <v>0</v>
      </c>
      <c r="C9" s="2">
        <v>0</v>
      </c>
      <c r="D9" s="14">
        <v>0</v>
      </c>
      <c r="E9" s="2">
        <v>0</v>
      </c>
      <c r="F9" s="2">
        <v>0</v>
      </c>
      <c r="G9" s="3" t="e">
        <f t="shared" si="0"/>
        <v>#DIV/0!</v>
      </c>
      <c r="H9" s="12" t="e">
        <f t="shared" si="1"/>
        <v>#DIV/0!</v>
      </c>
      <c r="I9" s="2">
        <v>0</v>
      </c>
      <c r="J9" s="2">
        <v>0</v>
      </c>
      <c r="K9" s="9" t="e">
        <f t="shared" si="2"/>
        <v>#DIV/0!</v>
      </c>
      <c r="L9" s="12" t="e">
        <f t="shared" si="3"/>
        <v>#DIV/0!</v>
      </c>
      <c r="M9" s="2">
        <v>0</v>
      </c>
      <c r="N9" s="2">
        <v>0</v>
      </c>
      <c r="O9" s="25" t="e">
        <f t="shared" si="4"/>
        <v>#DIV/0!</v>
      </c>
    </row>
    <row r="10" spans="1:15" x14ac:dyDescent="0.25">
      <c r="A10" s="1" t="s">
        <v>284</v>
      </c>
      <c r="B10" s="2">
        <v>837077</v>
      </c>
      <c r="C10" s="2">
        <v>838441</v>
      </c>
      <c r="D10" s="14">
        <v>752944</v>
      </c>
      <c r="E10" s="2">
        <v>598069</v>
      </c>
      <c r="F10" s="2">
        <v>690247</v>
      </c>
      <c r="G10" s="3">
        <f t="shared" si="0"/>
        <v>1.1541260289364605</v>
      </c>
      <c r="H10" s="12" t="str">
        <f t="shared" si="1"/>
        <v>ahead</v>
      </c>
      <c r="I10" s="2">
        <v>122381</v>
      </c>
      <c r="J10" s="2">
        <v>184926</v>
      </c>
      <c r="K10" s="9">
        <f t="shared" si="2"/>
        <v>1.5110678945261111</v>
      </c>
      <c r="L10" s="12" t="str">
        <f t="shared" si="3"/>
        <v>ahead</v>
      </c>
      <c r="M10" s="2">
        <v>862468</v>
      </c>
      <c r="N10" s="2">
        <v>958000</v>
      </c>
      <c r="O10" s="25">
        <f t="shared" si="4"/>
        <v>1.110765848703952</v>
      </c>
    </row>
    <row r="11" spans="1:15" x14ac:dyDescent="0.25">
      <c r="A11" s="1" t="s">
        <v>285</v>
      </c>
      <c r="B11" s="2">
        <v>0</v>
      </c>
      <c r="C11" s="2">
        <v>0</v>
      </c>
      <c r="D11" s="14">
        <v>0</v>
      </c>
      <c r="E11" s="2">
        <v>0</v>
      </c>
      <c r="F11" s="2">
        <v>0</v>
      </c>
      <c r="G11" s="3" t="e">
        <f t="shared" si="0"/>
        <v>#DIV/0!</v>
      </c>
      <c r="H11" s="12" t="e">
        <f t="shared" si="1"/>
        <v>#DIV/0!</v>
      </c>
      <c r="I11" s="2">
        <v>0</v>
      </c>
      <c r="J11" s="2">
        <v>0</v>
      </c>
      <c r="K11" s="9" t="e">
        <f t="shared" si="2"/>
        <v>#DIV/0!</v>
      </c>
      <c r="L11" s="12" t="e">
        <f t="shared" si="3"/>
        <v>#DIV/0!</v>
      </c>
      <c r="M11" s="2">
        <v>0</v>
      </c>
      <c r="N11" s="2">
        <v>0</v>
      </c>
      <c r="O11" s="25" t="e">
        <f t="shared" si="4"/>
        <v>#DIV/0!</v>
      </c>
    </row>
    <row r="12" spans="1:15" x14ac:dyDescent="0.25">
      <c r="A12" s="1" t="s">
        <v>286</v>
      </c>
      <c r="B12" s="2">
        <v>0</v>
      </c>
      <c r="C12" s="2">
        <v>0</v>
      </c>
      <c r="D12" s="14">
        <v>0</v>
      </c>
      <c r="E12" s="2">
        <v>0</v>
      </c>
      <c r="F12" s="2">
        <v>0</v>
      </c>
      <c r="G12" s="3" t="e">
        <f t="shared" si="0"/>
        <v>#DIV/0!</v>
      </c>
      <c r="H12" s="12" t="e">
        <f t="shared" si="1"/>
        <v>#DIV/0!</v>
      </c>
      <c r="I12" s="2">
        <v>0</v>
      </c>
      <c r="J12" s="2">
        <v>0</v>
      </c>
      <c r="K12" s="9" t="e">
        <f t="shared" si="2"/>
        <v>#DIV/0!</v>
      </c>
      <c r="L12" s="12" t="e">
        <f t="shared" si="3"/>
        <v>#DIV/0!</v>
      </c>
      <c r="M12" s="2">
        <v>0</v>
      </c>
      <c r="N12" s="2">
        <v>0</v>
      </c>
      <c r="O12" s="25" t="e">
        <f t="shared" si="4"/>
        <v>#DIV/0!</v>
      </c>
    </row>
    <row r="13" spans="1:15" x14ac:dyDescent="0.25">
      <c r="A13" s="1" t="s">
        <v>287</v>
      </c>
      <c r="B13" s="2">
        <v>0</v>
      </c>
      <c r="C13" s="2">
        <v>9598</v>
      </c>
      <c r="D13" s="14">
        <v>28930</v>
      </c>
      <c r="E13" s="2">
        <v>18540</v>
      </c>
      <c r="F13" s="2">
        <v>10650</v>
      </c>
      <c r="G13" s="3">
        <f t="shared" si="0"/>
        <v>0.57443365695792881</v>
      </c>
      <c r="H13" s="12" t="str">
        <f t="shared" si="1"/>
        <v>behind</v>
      </c>
      <c r="I13" s="2">
        <v>0</v>
      </c>
      <c r="J13" s="2">
        <v>0</v>
      </c>
      <c r="K13" s="9" t="e">
        <f t="shared" si="2"/>
        <v>#DIV/0!</v>
      </c>
      <c r="L13" s="12" t="e">
        <f t="shared" si="3"/>
        <v>#DIV/0!</v>
      </c>
      <c r="M13" s="2">
        <v>21040</v>
      </c>
      <c r="N13" s="2">
        <v>10000</v>
      </c>
      <c r="O13" s="25">
        <f t="shared" si="4"/>
        <v>0.47528517110266161</v>
      </c>
    </row>
    <row r="14" spans="1:15" hidden="1" x14ac:dyDescent="0.25">
      <c r="A14" s="1" t="s">
        <v>288</v>
      </c>
      <c r="B14" s="2">
        <v>0</v>
      </c>
      <c r="C14" s="2">
        <v>0</v>
      </c>
      <c r="D14" s="14">
        <v>0</v>
      </c>
      <c r="E14" s="2">
        <v>0</v>
      </c>
      <c r="F14" s="2">
        <v>0</v>
      </c>
      <c r="G14" s="3" t="e">
        <f t="shared" si="0"/>
        <v>#DIV/0!</v>
      </c>
      <c r="H14" s="12" t="e">
        <f t="shared" si="1"/>
        <v>#DIV/0!</v>
      </c>
      <c r="I14" s="2">
        <v>0</v>
      </c>
      <c r="J14" s="2">
        <v>0</v>
      </c>
      <c r="K14" s="9" t="e">
        <f t="shared" si="2"/>
        <v>#DIV/0!</v>
      </c>
      <c r="L14" s="12" t="e">
        <f t="shared" si="3"/>
        <v>#DIV/0!</v>
      </c>
      <c r="M14" s="2">
        <v>0</v>
      </c>
      <c r="N14" s="2">
        <v>0</v>
      </c>
      <c r="O14" s="25" t="e">
        <f t="shared" si="4"/>
        <v>#DIV/0!</v>
      </c>
    </row>
    <row r="15" spans="1:15" x14ac:dyDescent="0.25">
      <c r="A15" s="1" t="s">
        <v>289</v>
      </c>
      <c r="B15" s="2">
        <v>2669539</v>
      </c>
      <c r="C15" s="2">
        <v>3049053</v>
      </c>
      <c r="D15" s="14">
        <v>2924064</v>
      </c>
      <c r="E15" s="2">
        <v>2402495</v>
      </c>
      <c r="F15" s="2">
        <v>1793088</v>
      </c>
      <c r="G15" s="3">
        <f t="shared" si="0"/>
        <v>0.74634411309909077</v>
      </c>
      <c r="H15" s="12" t="str">
        <f t="shared" si="1"/>
        <v>behind</v>
      </c>
      <c r="I15" s="2">
        <v>291080</v>
      </c>
      <c r="J15" s="2">
        <v>177896</v>
      </c>
      <c r="K15" s="9">
        <f t="shared" si="2"/>
        <v>0.61115844441390688</v>
      </c>
      <c r="L15" s="12" t="str">
        <f t="shared" si="3"/>
        <v>behind</v>
      </c>
      <c r="M15" s="2">
        <v>2436801</v>
      </c>
      <c r="N15" s="2">
        <v>2749000</v>
      </c>
      <c r="O15" s="25">
        <f t="shared" si="4"/>
        <v>1.1281183814353326</v>
      </c>
    </row>
    <row r="16" spans="1:15" x14ac:dyDescent="0.25">
      <c r="A16" s="1" t="s">
        <v>290</v>
      </c>
      <c r="B16" s="2">
        <v>1231505</v>
      </c>
      <c r="C16" s="2">
        <v>942228</v>
      </c>
      <c r="D16" s="14">
        <v>812882</v>
      </c>
      <c r="E16" s="2">
        <v>585135</v>
      </c>
      <c r="F16" s="2">
        <v>790411</v>
      </c>
      <c r="G16" s="3">
        <f t="shared" si="0"/>
        <v>1.3508181872559324</v>
      </c>
      <c r="H16" s="12" t="str">
        <f t="shared" si="1"/>
        <v>ahead</v>
      </c>
      <c r="I16" s="2">
        <v>39451</v>
      </c>
      <c r="J16" s="2">
        <v>72975</v>
      </c>
      <c r="K16" s="9">
        <f t="shared" si="2"/>
        <v>1.8497629971356873</v>
      </c>
      <c r="L16" s="12" t="str">
        <f t="shared" si="3"/>
        <v>ahead</v>
      </c>
      <c r="M16" s="2">
        <v>1007981</v>
      </c>
      <c r="N16" s="2">
        <v>1199000</v>
      </c>
      <c r="O16" s="25">
        <f t="shared" si="4"/>
        <v>1.1895065482385085</v>
      </c>
    </row>
    <row r="17" spans="1:15" hidden="1" x14ac:dyDescent="0.25">
      <c r="A17" s="4" t="s">
        <v>291</v>
      </c>
      <c r="B17" s="2">
        <v>0</v>
      </c>
      <c r="C17" s="2">
        <v>0</v>
      </c>
      <c r="D17" s="14">
        <v>0</v>
      </c>
      <c r="E17" s="2">
        <v>0</v>
      </c>
      <c r="F17" s="2">
        <v>0</v>
      </c>
      <c r="G17" s="3" t="e">
        <f t="shared" si="0"/>
        <v>#DIV/0!</v>
      </c>
      <c r="H17" s="12" t="e">
        <f t="shared" si="1"/>
        <v>#DIV/0!</v>
      </c>
      <c r="I17" s="2">
        <v>0</v>
      </c>
      <c r="J17" s="2">
        <v>0</v>
      </c>
      <c r="K17" s="9" t="e">
        <f t="shared" si="2"/>
        <v>#DIV/0!</v>
      </c>
      <c r="L17" s="12" t="e">
        <f t="shared" si="3"/>
        <v>#DIV/0!</v>
      </c>
      <c r="M17" s="2">
        <v>0</v>
      </c>
      <c r="N17" s="2">
        <v>0</v>
      </c>
      <c r="O17" s="25" t="e">
        <f t="shared" si="4"/>
        <v>#DIV/0!</v>
      </c>
    </row>
    <row r="18" spans="1:15" x14ac:dyDescent="0.25">
      <c r="A18" s="4" t="s">
        <v>292</v>
      </c>
      <c r="B18" s="2">
        <v>744</v>
      </c>
      <c r="C18" s="2">
        <v>0</v>
      </c>
      <c r="D18" s="14">
        <v>0</v>
      </c>
      <c r="E18" s="2">
        <v>0</v>
      </c>
      <c r="F18" s="2">
        <v>0</v>
      </c>
      <c r="G18" s="3" t="e">
        <f t="shared" si="0"/>
        <v>#DIV/0!</v>
      </c>
      <c r="H18" s="12" t="e">
        <f t="shared" si="1"/>
        <v>#DIV/0!</v>
      </c>
      <c r="I18" s="2">
        <v>0</v>
      </c>
      <c r="J18" s="2">
        <v>0</v>
      </c>
      <c r="K18" s="9" t="e">
        <f t="shared" si="2"/>
        <v>#DIV/0!</v>
      </c>
      <c r="L18" s="12" t="e">
        <f t="shared" si="3"/>
        <v>#DIV/0!</v>
      </c>
      <c r="M18" s="2">
        <v>0</v>
      </c>
      <c r="N18" s="2">
        <v>0</v>
      </c>
      <c r="O18" s="25" t="e">
        <f t="shared" si="4"/>
        <v>#DIV/0!</v>
      </c>
    </row>
    <row r="19" spans="1:15" hidden="1" x14ac:dyDescent="0.25">
      <c r="A19" s="1" t="s">
        <v>293</v>
      </c>
      <c r="B19" s="2">
        <v>0</v>
      </c>
      <c r="C19" s="2">
        <v>0</v>
      </c>
      <c r="D19" s="14">
        <v>0</v>
      </c>
      <c r="E19" s="2">
        <v>0</v>
      </c>
      <c r="F19" s="2">
        <v>0</v>
      </c>
      <c r="G19" s="3" t="e">
        <f t="shared" ref="G19:G59" si="5">F19/E19</f>
        <v>#DIV/0!</v>
      </c>
      <c r="H19" s="12" t="e">
        <f t="shared" si="1"/>
        <v>#DIV/0!</v>
      </c>
      <c r="I19" s="2">
        <v>0</v>
      </c>
      <c r="J19" s="2">
        <v>0</v>
      </c>
      <c r="K19" s="9" t="e">
        <f t="shared" si="2"/>
        <v>#DIV/0!</v>
      </c>
      <c r="L19" s="12" t="e">
        <f t="shared" si="3"/>
        <v>#DIV/0!</v>
      </c>
      <c r="M19" s="2">
        <v>0</v>
      </c>
      <c r="N19" s="2">
        <v>0</v>
      </c>
      <c r="O19" s="25" t="e">
        <f t="shared" si="4"/>
        <v>#DIV/0!</v>
      </c>
    </row>
    <row r="20" spans="1:15" x14ac:dyDescent="0.25">
      <c r="A20" s="1" t="s">
        <v>294</v>
      </c>
      <c r="B20" s="2">
        <v>27089</v>
      </c>
      <c r="C20" s="2">
        <v>15355</v>
      </c>
      <c r="D20" s="14">
        <v>6584</v>
      </c>
      <c r="E20" s="2">
        <v>4884</v>
      </c>
      <c r="F20" s="2">
        <v>0</v>
      </c>
      <c r="G20" s="3">
        <f t="shared" si="5"/>
        <v>0</v>
      </c>
      <c r="H20" s="12" t="str">
        <f t="shared" si="1"/>
        <v>behind</v>
      </c>
      <c r="I20" s="2">
        <v>0</v>
      </c>
      <c r="J20" s="2">
        <v>0</v>
      </c>
      <c r="K20" s="9" t="e">
        <f t="shared" si="2"/>
        <v>#DIV/0!</v>
      </c>
      <c r="L20" s="12" t="e">
        <f t="shared" si="3"/>
        <v>#DIV/0!</v>
      </c>
      <c r="M20" s="2">
        <v>1700</v>
      </c>
      <c r="N20" s="2">
        <v>0</v>
      </c>
      <c r="O20" s="25">
        <f t="shared" si="4"/>
        <v>0</v>
      </c>
    </row>
    <row r="21" spans="1:15" hidden="1" x14ac:dyDescent="0.25">
      <c r="A21" s="1" t="s">
        <v>295</v>
      </c>
      <c r="B21" s="2">
        <v>0</v>
      </c>
      <c r="C21" s="2">
        <v>0</v>
      </c>
      <c r="D21" s="14">
        <v>0</v>
      </c>
      <c r="E21" s="2">
        <v>0</v>
      </c>
      <c r="F21" s="2">
        <v>0</v>
      </c>
      <c r="G21" s="3" t="e">
        <f t="shared" si="5"/>
        <v>#DIV/0!</v>
      </c>
      <c r="H21" s="12" t="e">
        <f t="shared" si="1"/>
        <v>#DIV/0!</v>
      </c>
      <c r="I21" s="2">
        <v>0</v>
      </c>
      <c r="J21" s="2">
        <v>0</v>
      </c>
      <c r="K21" s="9" t="e">
        <f t="shared" si="2"/>
        <v>#DIV/0!</v>
      </c>
      <c r="L21" s="12" t="e">
        <f t="shared" si="3"/>
        <v>#DIV/0!</v>
      </c>
      <c r="M21" s="2">
        <v>0</v>
      </c>
      <c r="N21" s="2">
        <v>0</v>
      </c>
      <c r="O21" s="25" t="e">
        <f t="shared" si="4"/>
        <v>#DIV/0!</v>
      </c>
    </row>
    <row r="22" spans="1:15" x14ac:dyDescent="0.25">
      <c r="A22" s="1" t="s">
        <v>296</v>
      </c>
      <c r="B22" s="2">
        <v>50786</v>
      </c>
      <c r="C22" s="2">
        <v>22258</v>
      </c>
      <c r="D22" s="14">
        <v>11805</v>
      </c>
      <c r="E22" s="2">
        <v>9381</v>
      </c>
      <c r="F22" s="2">
        <v>4376</v>
      </c>
      <c r="G22" s="3">
        <f t="shared" si="5"/>
        <v>0.46647478946807375</v>
      </c>
      <c r="H22" s="12" t="str">
        <f t="shared" si="1"/>
        <v>behind</v>
      </c>
      <c r="I22" s="2">
        <v>0</v>
      </c>
      <c r="J22" s="2">
        <v>0</v>
      </c>
      <c r="K22" s="9" t="e">
        <f t="shared" si="2"/>
        <v>#DIV/0!</v>
      </c>
      <c r="L22" s="12" t="e">
        <f t="shared" si="3"/>
        <v>#DIV/0!</v>
      </c>
      <c r="M22" s="2">
        <v>6800</v>
      </c>
      <c r="N22" s="2">
        <v>5000</v>
      </c>
      <c r="O22" s="25">
        <f t="shared" si="4"/>
        <v>0.73529411764705888</v>
      </c>
    </row>
    <row r="23" spans="1:15" x14ac:dyDescent="0.25">
      <c r="A23" s="1" t="s">
        <v>297</v>
      </c>
      <c r="B23" s="2">
        <v>0</v>
      </c>
      <c r="C23" s="2">
        <v>0</v>
      </c>
      <c r="D23" s="14">
        <v>0</v>
      </c>
      <c r="E23" s="2">
        <v>0</v>
      </c>
      <c r="F23" s="2">
        <v>0</v>
      </c>
      <c r="G23" s="3" t="e">
        <f t="shared" si="5"/>
        <v>#DIV/0!</v>
      </c>
      <c r="H23" s="12" t="e">
        <f t="shared" si="1"/>
        <v>#DIV/0!</v>
      </c>
      <c r="I23" s="2">
        <v>0</v>
      </c>
      <c r="J23" s="2">
        <v>0</v>
      </c>
      <c r="K23" s="9" t="e">
        <f t="shared" si="2"/>
        <v>#DIV/0!</v>
      </c>
      <c r="L23" s="12" t="e">
        <f t="shared" si="3"/>
        <v>#DIV/0!</v>
      </c>
      <c r="M23" s="2">
        <v>0</v>
      </c>
      <c r="N23" s="2">
        <v>0</v>
      </c>
      <c r="O23" s="25" t="e">
        <f t="shared" si="4"/>
        <v>#DIV/0!</v>
      </c>
    </row>
    <row r="24" spans="1:15" x14ac:dyDescent="0.25">
      <c r="A24" s="1" t="s">
        <v>298</v>
      </c>
      <c r="B24" s="2">
        <v>0</v>
      </c>
      <c r="C24" s="2">
        <v>26367</v>
      </c>
      <c r="D24" s="14">
        <v>0</v>
      </c>
      <c r="E24" s="2">
        <v>0</v>
      </c>
      <c r="F24" s="2">
        <v>10510</v>
      </c>
      <c r="G24" s="3" t="e">
        <f t="shared" si="5"/>
        <v>#DIV/0!</v>
      </c>
      <c r="H24" s="12" t="e">
        <f t="shared" si="1"/>
        <v>#DIV/0!</v>
      </c>
      <c r="I24" s="2">
        <v>0</v>
      </c>
      <c r="J24" s="2">
        <v>0</v>
      </c>
      <c r="K24" s="9" t="e">
        <f t="shared" si="2"/>
        <v>#DIV/0!</v>
      </c>
      <c r="L24" s="12" t="e">
        <f t="shared" si="3"/>
        <v>#DIV/0!</v>
      </c>
      <c r="M24" s="2">
        <v>10510</v>
      </c>
      <c r="N24" s="2">
        <v>26000</v>
      </c>
      <c r="O24" s="25">
        <f t="shared" si="4"/>
        <v>2.4738344433872501</v>
      </c>
    </row>
    <row r="25" spans="1:15" x14ac:dyDescent="0.25">
      <c r="A25" s="1" t="s">
        <v>299</v>
      </c>
      <c r="B25" s="2">
        <v>2579654</v>
      </c>
      <c r="C25" s="2">
        <v>2508003</v>
      </c>
      <c r="D25" s="14">
        <v>2102991</v>
      </c>
      <c r="E25" s="2">
        <v>1592848</v>
      </c>
      <c r="F25" s="2">
        <v>1750149</v>
      </c>
      <c r="G25" s="3">
        <f t="shared" si="5"/>
        <v>1.0987545578736955</v>
      </c>
      <c r="H25" s="12" t="str">
        <f t="shared" si="1"/>
        <v>ahead</v>
      </c>
      <c r="I25" s="2">
        <v>141172</v>
      </c>
      <c r="J25" s="2">
        <v>114976</v>
      </c>
      <c r="K25" s="9">
        <f t="shared" si="2"/>
        <v>0.81443912390559037</v>
      </c>
      <c r="L25" s="12" t="str">
        <f t="shared" si="3"/>
        <v>behind</v>
      </c>
      <c r="M25" s="2">
        <v>2236767</v>
      </c>
      <c r="N25" s="2">
        <v>2355000</v>
      </c>
      <c r="O25" s="25">
        <f t="shared" si="4"/>
        <v>1.0528588806970061</v>
      </c>
    </row>
    <row r="26" spans="1:15" hidden="1" x14ac:dyDescent="0.25">
      <c r="A26" s="1" t="s">
        <v>300</v>
      </c>
      <c r="B26" s="2">
        <v>0</v>
      </c>
      <c r="C26" s="2">
        <v>0</v>
      </c>
      <c r="D26" s="14">
        <v>0</v>
      </c>
      <c r="E26" s="2">
        <v>0</v>
      </c>
      <c r="F26" s="2">
        <v>0</v>
      </c>
      <c r="G26" s="3" t="e">
        <f t="shared" si="5"/>
        <v>#DIV/0!</v>
      </c>
      <c r="H26" s="12" t="e">
        <f t="shared" si="1"/>
        <v>#DIV/0!</v>
      </c>
      <c r="I26" s="2">
        <v>0</v>
      </c>
      <c r="J26" s="2">
        <v>0</v>
      </c>
      <c r="K26" s="9" t="e">
        <f t="shared" si="2"/>
        <v>#DIV/0!</v>
      </c>
      <c r="L26" s="12" t="e">
        <f t="shared" si="3"/>
        <v>#DIV/0!</v>
      </c>
      <c r="M26" s="2">
        <v>0</v>
      </c>
      <c r="N26" s="2">
        <v>0</v>
      </c>
      <c r="O26" s="25" t="e">
        <f t="shared" si="4"/>
        <v>#DIV/0!</v>
      </c>
    </row>
    <row r="27" spans="1:15" x14ac:dyDescent="0.25">
      <c r="A27" s="1" t="s">
        <v>301</v>
      </c>
      <c r="B27" s="2">
        <v>48700</v>
      </c>
      <c r="C27" s="2">
        <v>55051</v>
      </c>
      <c r="D27" s="14">
        <v>55815</v>
      </c>
      <c r="E27" s="2">
        <v>43337</v>
      </c>
      <c r="F27" s="2">
        <v>21250</v>
      </c>
      <c r="G27" s="3">
        <f t="shared" si="5"/>
        <v>0.49034312481251585</v>
      </c>
      <c r="H27" s="12" t="str">
        <f t="shared" si="1"/>
        <v>behind</v>
      </c>
      <c r="I27" s="2">
        <v>8282</v>
      </c>
      <c r="J27" s="2">
        <v>3202</v>
      </c>
      <c r="K27" s="9">
        <f t="shared" si="2"/>
        <v>0.38662158898816712</v>
      </c>
      <c r="L27" s="12" t="str">
        <f t="shared" si="3"/>
        <v>behind</v>
      </c>
      <c r="M27" s="2">
        <v>33728</v>
      </c>
      <c r="N27" s="2">
        <v>47000</v>
      </c>
      <c r="O27" s="25">
        <f t="shared" si="4"/>
        <v>1.3935009487666035</v>
      </c>
    </row>
    <row r="28" spans="1:15" x14ac:dyDescent="0.25">
      <c r="A28" s="1" t="s">
        <v>302</v>
      </c>
      <c r="B28" s="2">
        <v>0</v>
      </c>
      <c r="C28" s="2">
        <v>0</v>
      </c>
      <c r="D28" s="14">
        <v>0</v>
      </c>
      <c r="E28" s="2">
        <v>0</v>
      </c>
      <c r="F28" s="2">
        <v>0</v>
      </c>
      <c r="G28" s="3" t="e">
        <f t="shared" si="5"/>
        <v>#DIV/0!</v>
      </c>
      <c r="H28" s="12" t="e">
        <f t="shared" si="1"/>
        <v>#DIV/0!</v>
      </c>
      <c r="I28" s="2">
        <v>0</v>
      </c>
      <c r="J28" s="2">
        <v>0</v>
      </c>
      <c r="K28" s="9" t="e">
        <f t="shared" si="2"/>
        <v>#DIV/0!</v>
      </c>
      <c r="L28" s="12" t="e">
        <f t="shared" si="3"/>
        <v>#DIV/0!</v>
      </c>
      <c r="M28" s="2">
        <v>0</v>
      </c>
      <c r="N28" s="2">
        <v>0</v>
      </c>
      <c r="O28" s="25" t="e">
        <f t="shared" si="4"/>
        <v>#DIV/0!</v>
      </c>
    </row>
    <row r="29" spans="1:15" x14ac:dyDescent="0.25">
      <c r="A29" s="1" t="s">
        <v>303</v>
      </c>
      <c r="B29" s="2">
        <v>312024</v>
      </c>
      <c r="C29" s="2">
        <v>298053</v>
      </c>
      <c r="D29" s="14">
        <v>235841</v>
      </c>
      <c r="E29" s="2">
        <v>186946</v>
      </c>
      <c r="F29" s="2">
        <v>153139</v>
      </c>
      <c r="G29" s="3">
        <f t="shared" si="5"/>
        <v>0.81916168305286019</v>
      </c>
      <c r="H29" s="12" t="str">
        <f t="shared" si="1"/>
        <v>behind</v>
      </c>
      <c r="I29" s="2">
        <v>20337</v>
      </c>
      <c r="J29" s="2">
        <v>17603</v>
      </c>
      <c r="K29" s="9">
        <f t="shared" si="2"/>
        <v>0.86556522594286278</v>
      </c>
      <c r="L29" s="12" t="str">
        <f t="shared" si="3"/>
        <v>behind</v>
      </c>
      <c r="M29" s="2">
        <v>202034</v>
      </c>
      <c r="N29" s="2">
        <v>227000</v>
      </c>
      <c r="O29" s="25">
        <f t="shared" si="4"/>
        <v>1.1235732599463457</v>
      </c>
    </row>
    <row r="30" spans="1:15" x14ac:dyDescent="0.25">
      <c r="A30" s="1" t="s">
        <v>304</v>
      </c>
      <c r="B30" s="2">
        <v>84683</v>
      </c>
      <c r="C30" s="2">
        <v>67975</v>
      </c>
      <c r="D30" s="14">
        <v>42126</v>
      </c>
      <c r="E30" s="2">
        <v>35245</v>
      </c>
      <c r="F30" s="2">
        <v>25652</v>
      </c>
      <c r="G30" s="3">
        <f t="shared" si="5"/>
        <v>0.72781954887218048</v>
      </c>
      <c r="H30" s="12" t="str">
        <f t="shared" si="1"/>
        <v>behind</v>
      </c>
      <c r="I30" s="2">
        <v>3833</v>
      </c>
      <c r="J30" s="2">
        <v>2908</v>
      </c>
      <c r="K30" s="9">
        <f t="shared" si="2"/>
        <v>0.75867466736237932</v>
      </c>
      <c r="L30" s="12" t="str">
        <f t="shared" si="3"/>
        <v>behind</v>
      </c>
      <c r="M30" s="2">
        <v>32533</v>
      </c>
      <c r="N30" s="2">
        <v>42000</v>
      </c>
      <c r="O30" s="25">
        <f t="shared" si="4"/>
        <v>1.2909968339839548</v>
      </c>
    </row>
    <row r="31" spans="1:15" x14ac:dyDescent="0.25">
      <c r="A31" s="1" t="s">
        <v>305</v>
      </c>
      <c r="B31" s="2">
        <v>94472</v>
      </c>
      <c r="C31" s="2">
        <v>60653</v>
      </c>
      <c r="D31" s="14">
        <v>21876</v>
      </c>
      <c r="E31" s="2">
        <v>60797</v>
      </c>
      <c r="F31" s="2">
        <v>28020</v>
      </c>
      <c r="G31" s="3">
        <f t="shared" si="5"/>
        <v>0.46087800384887412</v>
      </c>
      <c r="H31" s="12" t="str">
        <f t="shared" si="1"/>
        <v>behind</v>
      </c>
      <c r="I31" s="2">
        <v>3410</v>
      </c>
      <c r="J31" s="2">
        <v>0</v>
      </c>
      <c r="K31" s="9">
        <f t="shared" si="2"/>
        <v>0</v>
      </c>
      <c r="L31" s="12" t="str">
        <f t="shared" si="3"/>
        <v>behind</v>
      </c>
      <c r="M31" s="2">
        <v>46087</v>
      </c>
      <c r="N31" s="2">
        <v>4000</v>
      </c>
      <c r="O31" s="25">
        <f t="shared" si="4"/>
        <v>8.6792370950593445E-2</v>
      </c>
    </row>
    <row r="32" spans="1:15" hidden="1" x14ac:dyDescent="0.25">
      <c r="A32" s="1" t="s">
        <v>306</v>
      </c>
      <c r="B32" s="2">
        <v>0</v>
      </c>
      <c r="C32" s="2">
        <v>0</v>
      </c>
      <c r="D32" s="14">
        <v>0</v>
      </c>
      <c r="E32" s="2">
        <v>0</v>
      </c>
      <c r="F32" s="2">
        <v>0</v>
      </c>
      <c r="G32" s="3" t="e">
        <f t="shared" si="5"/>
        <v>#DIV/0!</v>
      </c>
      <c r="H32" s="12" t="e">
        <f t="shared" si="1"/>
        <v>#DIV/0!</v>
      </c>
      <c r="I32" s="2">
        <v>0</v>
      </c>
      <c r="J32" s="2">
        <v>0</v>
      </c>
      <c r="K32" s="9" t="e">
        <f t="shared" si="2"/>
        <v>#DIV/0!</v>
      </c>
      <c r="L32" s="12" t="e">
        <f t="shared" si="3"/>
        <v>#DIV/0!</v>
      </c>
      <c r="M32" s="2">
        <v>0</v>
      </c>
      <c r="N32" s="2">
        <v>0</v>
      </c>
      <c r="O32" s="25" t="e">
        <f t="shared" si="4"/>
        <v>#DIV/0!</v>
      </c>
    </row>
    <row r="33" spans="1:15" hidden="1" x14ac:dyDescent="0.25">
      <c r="A33" s="1" t="s">
        <v>307</v>
      </c>
      <c r="B33" s="2">
        <v>0</v>
      </c>
      <c r="C33" s="2">
        <v>0</v>
      </c>
      <c r="D33" s="14">
        <v>0</v>
      </c>
      <c r="E33" s="2">
        <v>0</v>
      </c>
      <c r="F33" s="2">
        <v>0</v>
      </c>
      <c r="G33" s="3" t="e">
        <f t="shared" si="5"/>
        <v>#DIV/0!</v>
      </c>
      <c r="H33" s="12" t="e">
        <f t="shared" si="1"/>
        <v>#DIV/0!</v>
      </c>
      <c r="I33" s="2">
        <v>0</v>
      </c>
      <c r="J33" s="2">
        <v>0</v>
      </c>
      <c r="K33" s="9" t="e">
        <f t="shared" si="2"/>
        <v>#DIV/0!</v>
      </c>
      <c r="L33" s="12" t="e">
        <f t="shared" si="3"/>
        <v>#DIV/0!</v>
      </c>
      <c r="M33" s="2">
        <v>0</v>
      </c>
      <c r="N33" s="2">
        <v>0</v>
      </c>
      <c r="O33" s="25" t="e">
        <f t="shared" si="4"/>
        <v>#DIV/0!</v>
      </c>
    </row>
    <row r="34" spans="1:15" x14ac:dyDescent="0.25">
      <c r="A34" s="1" t="s">
        <v>382</v>
      </c>
      <c r="B34" s="2">
        <v>4927163</v>
      </c>
      <c r="C34" s="2">
        <v>4226608</v>
      </c>
      <c r="D34" s="14">
        <v>2760563</v>
      </c>
      <c r="E34" s="2">
        <v>2531513</v>
      </c>
      <c r="F34" s="2">
        <v>2028468.5</v>
      </c>
      <c r="G34" s="3">
        <f t="shared" si="5"/>
        <v>0.80128701689463966</v>
      </c>
      <c r="H34" s="12" t="str">
        <f t="shared" si="1"/>
        <v>behind</v>
      </c>
      <c r="I34" s="2">
        <v>213321</v>
      </c>
      <c r="J34" s="2">
        <v>199339.5</v>
      </c>
      <c r="K34" s="9">
        <f t="shared" si="2"/>
        <v>0.93445792959905494</v>
      </c>
      <c r="L34" s="12" t="str">
        <f t="shared" si="3"/>
        <v>behind</v>
      </c>
      <c r="M34" s="2">
        <v>2266518.5</v>
      </c>
      <c r="N34" s="2">
        <v>2980000</v>
      </c>
      <c r="O34" s="25">
        <f t="shared" si="4"/>
        <v>1.3147918272010575</v>
      </c>
    </row>
    <row r="35" spans="1:15" x14ac:dyDescent="0.25">
      <c r="A35" s="1" t="s">
        <v>383</v>
      </c>
      <c r="B35" s="2">
        <v>0</v>
      </c>
      <c r="C35" s="2">
        <v>0</v>
      </c>
      <c r="D35" s="14">
        <v>0</v>
      </c>
      <c r="E35" s="2">
        <v>0</v>
      </c>
      <c r="F35" s="2">
        <v>0</v>
      </c>
      <c r="G35" s="3" t="e">
        <f t="shared" si="5"/>
        <v>#DIV/0!</v>
      </c>
      <c r="H35" s="12" t="e">
        <f t="shared" si="1"/>
        <v>#DIV/0!</v>
      </c>
      <c r="I35" s="2">
        <v>0</v>
      </c>
      <c r="J35" s="2">
        <v>0</v>
      </c>
      <c r="K35" s="9" t="e">
        <f t="shared" si="2"/>
        <v>#DIV/0!</v>
      </c>
      <c r="L35" s="12" t="e">
        <f t="shared" si="3"/>
        <v>#DIV/0!</v>
      </c>
      <c r="M35" s="2">
        <v>0</v>
      </c>
      <c r="N35" s="2">
        <v>0</v>
      </c>
      <c r="O35" s="25" t="e">
        <f t="shared" si="4"/>
        <v>#DIV/0!</v>
      </c>
    </row>
    <row r="36" spans="1:15" x14ac:dyDescent="0.25">
      <c r="A36" s="1" t="s">
        <v>384</v>
      </c>
      <c r="B36" s="2">
        <v>99162</v>
      </c>
      <c r="C36" s="2">
        <v>118040</v>
      </c>
      <c r="D36" s="14">
        <v>96580</v>
      </c>
      <c r="E36" s="2">
        <v>79460</v>
      </c>
      <c r="F36" s="2">
        <v>39520</v>
      </c>
      <c r="G36" s="3">
        <f t="shared" si="5"/>
        <v>0.49735716083564058</v>
      </c>
      <c r="H36" s="12" t="str">
        <f t="shared" si="1"/>
        <v>behind</v>
      </c>
      <c r="I36" s="2">
        <v>0</v>
      </c>
      <c r="J36" s="2">
        <v>0</v>
      </c>
      <c r="K36" s="9" t="e">
        <f t="shared" si="2"/>
        <v>#DIV/0!</v>
      </c>
      <c r="L36" s="12" t="e">
        <f t="shared" si="3"/>
        <v>#DIV/0!</v>
      </c>
      <c r="M36" s="2">
        <v>56640</v>
      </c>
      <c r="N36" s="2">
        <v>96000</v>
      </c>
      <c r="O36" s="25">
        <f t="shared" si="4"/>
        <v>1.6949152542372881</v>
      </c>
    </row>
    <row r="37" spans="1:15" x14ac:dyDescent="0.25">
      <c r="A37" s="1" t="s">
        <v>385</v>
      </c>
      <c r="B37" s="2">
        <v>0</v>
      </c>
      <c r="C37" s="2">
        <v>0</v>
      </c>
      <c r="D37" s="14">
        <v>0</v>
      </c>
      <c r="E37" s="2">
        <v>0</v>
      </c>
      <c r="F37" s="2">
        <v>0</v>
      </c>
      <c r="G37" s="3" t="e">
        <f t="shared" si="5"/>
        <v>#DIV/0!</v>
      </c>
      <c r="H37" s="12" t="e">
        <f t="shared" si="1"/>
        <v>#DIV/0!</v>
      </c>
      <c r="I37" s="2">
        <v>0</v>
      </c>
      <c r="J37" s="2">
        <v>0</v>
      </c>
      <c r="K37" s="9" t="e">
        <f t="shared" si="2"/>
        <v>#DIV/0!</v>
      </c>
      <c r="L37" s="12" t="e">
        <f t="shared" si="3"/>
        <v>#DIV/0!</v>
      </c>
      <c r="M37" s="2">
        <v>0</v>
      </c>
      <c r="N37" s="2">
        <v>0</v>
      </c>
      <c r="O37" s="25" t="e">
        <f t="shared" si="4"/>
        <v>#DIV/0!</v>
      </c>
    </row>
    <row r="38" spans="1:15" hidden="1" x14ac:dyDescent="0.25">
      <c r="A38" s="1" t="s">
        <v>386</v>
      </c>
      <c r="B38" s="2">
        <v>0</v>
      </c>
      <c r="C38" s="2">
        <v>0</v>
      </c>
      <c r="D38" s="14">
        <v>0</v>
      </c>
      <c r="E38" s="2">
        <v>0</v>
      </c>
      <c r="F38" s="2">
        <v>0</v>
      </c>
      <c r="G38" s="3" t="e">
        <f t="shared" si="5"/>
        <v>#DIV/0!</v>
      </c>
      <c r="H38" s="12" t="e">
        <f t="shared" si="1"/>
        <v>#DIV/0!</v>
      </c>
      <c r="I38" s="2">
        <v>0</v>
      </c>
      <c r="J38" s="2">
        <v>0</v>
      </c>
      <c r="K38" s="9" t="e">
        <f t="shared" si="2"/>
        <v>#DIV/0!</v>
      </c>
      <c r="L38" s="12" t="e">
        <f t="shared" si="3"/>
        <v>#DIV/0!</v>
      </c>
      <c r="M38" s="2">
        <v>0</v>
      </c>
      <c r="N38" s="2">
        <v>0</v>
      </c>
      <c r="O38" s="25" t="e">
        <f t="shared" si="4"/>
        <v>#DIV/0!</v>
      </c>
    </row>
    <row r="39" spans="1:15" x14ac:dyDescent="0.25">
      <c r="A39" s="1" t="s">
        <v>387</v>
      </c>
      <c r="B39" s="2">
        <v>0</v>
      </c>
      <c r="C39" s="2">
        <v>0</v>
      </c>
      <c r="D39" s="14">
        <v>0</v>
      </c>
      <c r="E39" s="2">
        <v>0</v>
      </c>
      <c r="F39" s="2">
        <v>0</v>
      </c>
      <c r="G39" s="3" t="e">
        <f t="shared" si="5"/>
        <v>#DIV/0!</v>
      </c>
      <c r="H39" s="12" t="e">
        <f t="shared" si="1"/>
        <v>#DIV/0!</v>
      </c>
      <c r="I39" s="2">
        <v>0</v>
      </c>
      <c r="J39" s="2">
        <v>0</v>
      </c>
      <c r="K39" s="9" t="e">
        <f t="shared" si="2"/>
        <v>#DIV/0!</v>
      </c>
      <c r="L39" s="12" t="e">
        <f t="shared" si="3"/>
        <v>#DIV/0!</v>
      </c>
      <c r="M39" s="2">
        <v>0</v>
      </c>
      <c r="N39" s="2">
        <v>0</v>
      </c>
      <c r="O39" s="25" t="e">
        <f t="shared" si="4"/>
        <v>#DIV/0!</v>
      </c>
    </row>
    <row r="40" spans="1:15" x14ac:dyDescent="0.25">
      <c r="A40" s="1" t="s">
        <v>388</v>
      </c>
      <c r="B40" s="2">
        <v>38780</v>
      </c>
      <c r="C40" s="2">
        <v>64074</v>
      </c>
      <c r="D40" s="14">
        <v>46606</v>
      </c>
      <c r="E40" s="2">
        <v>33683</v>
      </c>
      <c r="F40" s="2">
        <v>68539</v>
      </c>
      <c r="G40" s="3">
        <f t="shared" si="5"/>
        <v>2.0348246890122614</v>
      </c>
      <c r="H40" s="12" t="str">
        <f t="shared" si="1"/>
        <v>ahead</v>
      </c>
      <c r="I40" s="2">
        <v>2065</v>
      </c>
      <c r="J40" s="2">
        <v>4417</v>
      </c>
      <c r="K40" s="9">
        <f t="shared" si="2"/>
        <v>2.1389830508474574</v>
      </c>
      <c r="L40" s="12" t="str">
        <f t="shared" si="3"/>
        <v>ahead</v>
      </c>
      <c r="M40" s="2">
        <v>80282</v>
      </c>
      <c r="N40" s="2">
        <v>72000</v>
      </c>
      <c r="O40" s="25">
        <f t="shared" si="4"/>
        <v>0.89683864378067313</v>
      </c>
    </row>
    <row r="41" spans="1:15" x14ac:dyDescent="0.25">
      <c r="A41" s="1" t="s">
        <v>334</v>
      </c>
      <c r="B41" s="2">
        <v>206486</v>
      </c>
      <c r="C41" s="2">
        <v>217521</v>
      </c>
      <c r="D41" s="14">
        <v>129560</v>
      </c>
      <c r="E41" s="2">
        <v>111784</v>
      </c>
      <c r="F41" s="2">
        <v>197896</v>
      </c>
      <c r="G41" s="3">
        <f t="shared" si="5"/>
        <v>1.7703428039791025</v>
      </c>
      <c r="H41" s="12" t="str">
        <f t="shared" si="1"/>
        <v>ahead</v>
      </c>
      <c r="I41" s="2">
        <v>16320</v>
      </c>
      <c r="J41" s="2">
        <v>11751</v>
      </c>
      <c r="K41" s="9">
        <f t="shared" si="2"/>
        <v>0.7200367647058824</v>
      </c>
      <c r="L41" s="12" t="str">
        <f t="shared" si="3"/>
        <v>behind</v>
      </c>
      <c r="M41" s="2">
        <v>215672</v>
      </c>
      <c r="N41" s="2">
        <v>210000</v>
      </c>
      <c r="O41" s="25">
        <f t="shared" si="4"/>
        <v>0.97370080492599875</v>
      </c>
    </row>
    <row r="42" spans="1:15" x14ac:dyDescent="0.25">
      <c r="A42" s="1" t="s">
        <v>335</v>
      </c>
      <c r="B42" s="2">
        <v>0</v>
      </c>
      <c r="C42" s="2">
        <v>0</v>
      </c>
      <c r="D42" s="14">
        <v>113260</v>
      </c>
      <c r="E42" s="2">
        <v>66580</v>
      </c>
      <c r="F42" s="2">
        <v>0</v>
      </c>
      <c r="G42" s="3">
        <f t="shared" si="5"/>
        <v>0</v>
      </c>
      <c r="H42" s="12" t="str">
        <f t="shared" si="1"/>
        <v>behind</v>
      </c>
      <c r="I42" s="2">
        <v>14160</v>
      </c>
      <c r="J42" s="2">
        <v>0</v>
      </c>
      <c r="K42" s="9">
        <f t="shared" si="2"/>
        <v>0</v>
      </c>
      <c r="L42" s="12" t="str">
        <f t="shared" si="3"/>
        <v>behind</v>
      </c>
      <c r="M42" s="2">
        <v>46680</v>
      </c>
      <c r="N42" s="2">
        <v>0</v>
      </c>
      <c r="O42" s="25">
        <f t="shared" si="4"/>
        <v>0</v>
      </c>
    </row>
    <row r="43" spans="1:15" x14ac:dyDescent="0.25">
      <c r="A43" s="1" t="s">
        <v>336</v>
      </c>
      <c r="B43" s="2">
        <v>83569</v>
      </c>
      <c r="C43" s="2">
        <v>60007</v>
      </c>
      <c r="D43" s="14">
        <v>52258</v>
      </c>
      <c r="E43" s="2">
        <v>39045</v>
      </c>
      <c r="F43" s="2">
        <v>37109</v>
      </c>
      <c r="G43" s="3">
        <f t="shared" si="5"/>
        <v>0.95041618645153025</v>
      </c>
      <c r="H43" s="12" t="str">
        <f t="shared" si="1"/>
        <v>behind</v>
      </c>
      <c r="I43" s="2">
        <v>0</v>
      </c>
      <c r="J43" s="2">
        <v>3549</v>
      </c>
      <c r="K43" s="9" t="e">
        <f t="shared" si="2"/>
        <v>#DIV/0!</v>
      </c>
      <c r="L43" s="12" t="e">
        <f t="shared" si="3"/>
        <v>#DIV/0!</v>
      </c>
      <c r="M43" s="2">
        <v>50322</v>
      </c>
      <c r="N43" s="2">
        <v>52000</v>
      </c>
      <c r="O43" s="25">
        <f t="shared" si="4"/>
        <v>1.033345256547832</v>
      </c>
    </row>
    <row r="44" spans="1:15" hidden="1" x14ac:dyDescent="0.25">
      <c r="A44" s="1" t="s">
        <v>337</v>
      </c>
      <c r="B44" s="2">
        <v>0</v>
      </c>
      <c r="C44" s="2">
        <v>0</v>
      </c>
      <c r="D44" s="14">
        <v>0</v>
      </c>
      <c r="E44" s="2">
        <v>0</v>
      </c>
      <c r="F44" s="2">
        <v>0</v>
      </c>
      <c r="G44" s="3" t="e">
        <f t="shared" si="5"/>
        <v>#DIV/0!</v>
      </c>
      <c r="H44" s="12" t="e">
        <f t="shared" si="1"/>
        <v>#DIV/0!</v>
      </c>
      <c r="I44" s="2">
        <v>0</v>
      </c>
      <c r="J44" s="2">
        <v>0</v>
      </c>
      <c r="K44" s="9" t="e">
        <f t="shared" si="2"/>
        <v>#DIV/0!</v>
      </c>
      <c r="L44" s="12" t="e">
        <f t="shared" si="3"/>
        <v>#DIV/0!</v>
      </c>
      <c r="M44" s="2">
        <v>0</v>
      </c>
      <c r="N44" s="2">
        <v>0</v>
      </c>
      <c r="O44" s="25" t="e">
        <f t="shared" si="4"/>
        <v>#DIV/0!</v>
      </c>
    </row>
    <row r="45" spans="1:15" x14ac:dyDescent="0.25">
      <c r="A45" s="1" t="s">
        <v>338</v>
      </c>
      <c r="B45" s="2">
        <v>44210</v>
      </c>
      <c r="C45" s="2">
        <v>58424</v>
      </c>
      <c r="D45" s="14">
        <v>61720</v>
      </c>
      <c r="E45" s="2">
        <v>59397</v>
      </c>
      <c r="F45" s="2">
        <v>38989</v>
      </c>
      <c r="G45" s="3">
        <f t="shared" si="5"/>
        <v>0.65641362358368271</v>
      </c>
      <c r="H45" s="12" t="str">
        <f t="shared" si="1"/>
        <v>behind</v>
      </c>
      <c r="I45" s="2">
        <v>21203</v>
      </c>
      <c r="J45" s="2">
        <v>1111</v>
      </c>
      <c r="K45" s="9">
        <f t="shared" si="2"/>
        <v>5.2398245531292742E-2</v>
      </c>
      <c r="L45" s="12" t="str">
        <f t="shared" si="3"/>
        <v>behind</v>
      </c>
      <c r="M45" s="2">
        <v>41312</v>
      </c>
      <c r="N45" s="2">
        <v>56000</v>
      </c>
      <c r="O45" s="25">
        <f t="shared" si="4"/>
        <v>1.3555383423702556</v>
      </c>
    </row>
    <row r="46" spans="1:15" x14ac:dyDescent="0.25">
      <c r="A46" s="1" t="s">
        <v>339</v>
      </c>
      <c r="B46" s="2">
        <v>76019</v>
      </c>
      <c r="C46" s="2">
        <v>17060</v>
      </c>
      <c r="D46" s="14">
        <v>22450</v>
      </c>
      <c r="E46" s="2">
        <v>16740</v>
      </c>
      <c r="F46" s="2">
        <v>3760</v>
      </c>
      <c r="G46" s="3">
        <f t="shared" si="5"/>
        <v>0.22461170848267623</v>
      </c>
      <c r="H46" s="12" t="str">
        <f t="shared" si="1"/>
        <v>behind</v>
      </c>
      <c r="I46" s="2">
        <v>0</v>
      </c>
      <c r="J46" s="2">
        <v>0</v>
      </c>
      <c r="K46" s="9" t="e">
        <f t="shared" si="2"/>
        <v>#DIV/0!</v>
      </c>
      <c r="L46" s="12" t="e">
        <f t="shared" si="3"/>
        <v>#DIV/0!</v>
      </c>
      <c r="M46" s="2">
        <v>9470</v>
      </c>
      <c r="N46" s="2">
        <v>20000</v>
      </c>
      <c r="O46" s="25">
        <f t="shared" si="4"/>
        <v>2.1119324181626187</v>
      </c>
    </row>
    <row r="47" spans="1:15" hidden="1" x14ac:dyDescent="0.25">
      <c r="A47" s="1" t="s">
        <v>340</v>
      </c>
      <c r="B47" s="2">
        <v>0</v>
      </c>
      <c r="C47" s="2">
        <v>0</v>
      </c>
      <c r="D47" s="14">
        <v>0</v>
      </c>
      <c r="E47" s="2">
        <v>0</v>
      </c>
      <c r="F47" s="2">
        <v>0</v>
      </c>
      <c r="G47" s="3" t="e">
        <f t="shared" si="5"/>
        <v>#DIV/0!</v>
      </c>
      <c r="H47" s="12" t="e">
        <f t="shared" si="1"/>
        <v>#DIV/0!</v>
      </c>
      <c r="I47" s="2">
        <v>0</v>
      </c>
      <c r="J47" s="2">
        <v>0</v>
      </c>
      <c r="K47" s="9" t="e">
        <f t="shared" si="2"/>
        <v>#DIV/0!</v>
      </c>
      <c r="L47" s="12" t="e">
        <f t="shared" si="3"/>
        <v>#DIV/0!</v>
      </c>
      <c r="M47" s="2">
        <v>0</v>
      </c>
      <c r="N47" s="2">
        <v>0</v>
      </c>
      <c r="O47" s="25" t="e">
        <f t="shared" si="4"/>
        <v>#DIV/0!</v>
      </c>
    </row>
    <row r="48" spans="1:15" hidden="1" x14ac:dyDescent="0.25">
      <c r="A48" s="1" t="s">
        <v>341</v>
      </c>
      <c r="B48" s="2">
        <v>0</v>
      </c>
      <c r="C48" s="2">
        <v>0</v>
      </c>
      <c r="D48" s="14">
        <v>0</v>
      </c>
      <c r="E48" s="2">
        <v>0</v>
      </c>
      <c r="F48" s="2">
        <v>0</v>
      </c>
      <c r="G48" s="3" t="e">
        <f t="shared" si="5"/>
        <v>#DIV/0!</v>
      </c>
      <c r="H48" s="12" t="e">
        <f t="shared" si="1"/>
        <v>#DIV/0!</v>
      </c>
      <c r="I48" s="2">
        <v>0</v>
      </c>
      <c r="J48" s="2">
        <v>0</v>
      </c>
      <c r="K48" s="9" t="e">
        <f t="shared" si="2"/>
        <v>#DIV/0!</v>
      </c>
      <c r="L48" s="12" t="e">
        <f t="shared" si="3"/>
        <v>#DIV/0!</v>
      </c>
      <c r="M48" s="2">
        <v>0</v>
      </c>
      <c r="N48" s="2">
        <v>0</v>
      </c>
      <c r="O48" s="25" t="e">
        <f t="shared" si="4"/>
        <v>#DIV/0!</v>
      </c>
    </row>
    <row r="49" spans="1:15" hidden="1" x14ac:dyDescent="0.25">
      <c r="A49" s="1" t="s">
        <v>342</v>
      </c>
      <c r="B49" s="2">
        <v>0</v>
      </c>
      <c r="C49" s="2">
        <v>0</v>
      </c>
      <c r="D49" s="14">
        <v>0</v>
      </c>
      <c r="E49" s="2">
        <v>0</v>
      </c>
      <c r="F49" s="2">
        <v>0</v>
      </c>
      <c r="G49" s="3" t="e">
        <f t="shared" si="5"/>
        <v>#DIV/0!</v>
      </c>
      <c r="H49" s="12" t="e">
        <f t="shared" si="1"/>
        <v>#DIV/0!</v>
      </c>
      <c r="I49" s="2">
        <v>0</v>
      </c>
      <c r="J49" s="2">
        <v>0</v>
      </c>
      <c r="K49" s="9" t="e">
        <f t="shared" si="2"/>
        <v>#DIV/0!</v>
      </c>
      <c r="L49" s="12" t="e">
        <f t="shared" si="3"/>
        <v>#DIV/0!</v>
      </c>
      <c r="M49" s="2">
        <v>0</v>
      </c>
      <c r="N49" s="2">
        <v>0</v>
      </c>
      <c r="O49" s="25" t="e">
        <f t="shared" si="4"/>
        <v>#DIV/0!</v>
      </c>
    </row>
    <row r="50" spans="1:15" hidden="1" x14ac:dyDescent="0.25">
      <c r="A50" s="1" t="s">
        <v>343</v>
      </c>
      <c r="B50" s="2">
        <v>0</v>
      </c>
      <c r="C50" s="2">
        <v>0</v>
      </c>
      <c r="D50" s="14">
        <v>0</v>
      </c>
      <c r="E50" s="2">
        <v>0</v>
      </c>
      <c r="F50" s="2">
        <v>0</v>
      </c>
      <c r="G50" s="3" t="e">
        <f t="shared" si="5"/>
        <v>#DIV/0!</v>
      </c>
      <c r="H50" s="12" t="e">
        <f t="shared" si="1"/>
        <v>#DIV/0!</v>
      </c>
      <c r="I50" s="2">
        <v>0</v>
      </c>
      <c r="J50" s="2">
        <v>0</v>
      </c>
      <c r="K50" s="9" t="e">
        <f t="shared" si="2"/>
        <v>#DIV/0!</v>
      </c>
      <c r="L50" s="12" t="e">
        <f t="shared" si="3"/>
        <v>#DIV/0!</v>
      </c>
      <c r="M50" s="2">
        <v>0</v>
      </c>
      <c r="N50" s="2">
        <v>0</v>
      </c>
      <c r="O50" s="25" t="e">
        <f t="shared" si="4"/>
        <v>#DIV/0!</v>
      </c>
    </row>
    <row r="51" spans="1:15" x14ac:dyDescent="0.25">
      <c r="A51" s="1" t="s">
        <v>344</v>
      </c>
      <c r="B51" s="2">
        <v>93527</v>
      </c>
      <c r="C51" s="2">
        <v>18862</v>
      </c>
      <c r="D51" s="14">
        <v>0</v>
      </c>
      <c r="E51" s="2">
        <v>0</v>
      </c>
      <c r="F51" s="2">
        <v>0</v>
      </c>
      <c r="G51" s="3" t="e">
        <f t="shared" si="5"/>
        <v>#DIV/0!</v>
      </c>
      <c r="H51" s="12" t="e">
        <f t="shared" si="1"/>
        <v>#DIV/0!</v>
      </c>
      <c r="I51" s="2">
        <v>0</v>
      </c>
      <c r="J51" s="2">
        <v>0</v>
      </c>
      <c r="K51" s="9" t="e">
        <f t="shared" si="2"/>
        <v>#DIV/0!</v>
      </c>
      <c r="L51" s="12" t="e">
        <f t="shared" si="3"/>
        <v>#DIV/0!</v>
      </c>
      <c r="M51" s="2">
        <v>0</v>
      </c>
      <c r="N51" s="2">
        <v>0</v>
      </c>
      <c r="O51" s="25" t="e">
        <f t="shared" si="4"/>
        <v>#DIV/0!</v>
      </c>
    </row>
    <row r="52" spans="1:15" x14ac:dyDescent="0.25">
      <c r="A52" s="1" t="s">
        <v>345</v>
      </c>
      <c r="B52" s="2">
        <v>1812769</v>
      </c>
      <c r="C52" s="2">
        <v>1879469</v>
      </c>
      <c r="D52" s="14">
        <v>1229214</v>
      </c>
      <c r="E52" s="2">
        <v>955128</v>
      </c>
      <c r="F52" s="2">
        <v>786208</v>
      </c>
      <c r="G52" s="3">
        <f t="shared" si="5"/>
        <v>0.82314412309135532</v>
      </c>
      <c r="H52" s="12" t="str">
        <f t="shared" si="1"/>
        <v>behind</v>
      </c>
      <c r="I52" s="2">
        <v>122417</v>
      </c>
      <c r="J52" s="2">
        <v>77943</v>
      </c>
      <c r="K52" s="9">
        <f t="shared" si="2"/>
        <v>0.63670078502168814</v>
      </c>
      <c r="L52" s="12" t="str">
        <f t="shared" si="3"/>
        <v>behind</v>
      </c>
      <c r="M52" s="2">
        <v>1070913</v>
      </c>
      <c r="N52" s="2">
        <v>1283000</v>
      </c>
      <c r="O52" s="25">
        <f t="shared" si="4"/>
        <v>1.1980431650376828</v>
      </c>
    </row>
    <row r="53" spans="1:15" x14ac:dyDescent="0.25">
      <c r="A53" s="1" t="s">
        <v>346</v>
      </c>
      <c r="B53" s="2">
        <v>536351</v>
      </c>
      <c r="C53" s="2">
        <v>481955</v>
      </c>
      <c r="D53" s="14">
        <v>419254</v>
      </c>
      <c r="E53" s="2">
        <v>320994</v>
      </c>
      <c r="F53" s="2">
        <v>408597</v>
      </c>
      <c r="G53" s="3">
        <f t="shared" si="5"/>
        <v>1.2729116432082843</v>
      </c>
      <c r="H53" s="12" t="str">
        <f t="shared" si="1"/>
        <v>ahead</v>
      </c>
      <c r="I53" s="2">
        <v>23397</v>
      </c>
      <c r="J53" s="2">
        <v>40607</v>
      </c>
      <c r="K53" s="9">
        <f t="shared" si="2"/>
        <v>1.7355643885968286</v>
      </c>
      <c r="L53" s="12" t="str">
        <f t="shared" si="3"/>
        <v>ahead</v>
      </c>
      <c r="M53" s="2">
        <v>506857</v>
      </c>
      <c r="N53" s="2">
        <v>531000</v>
      </c>
      <c r="O53" s="25">
        <f t="shared" si="4"/>
        <v>1.0476327642707903</v>
      </c>
    </row>
    <row r="54" spans="1:15" x14ac:dyDescent="0.25">
      <c r="A54" s="1" t="s">
        <v>347</v>
      </c>
      <c r="B54" s="2">
        <v>0</v>
      </c>
      <c r="C54" s="2">
        <v>0</v>
      </c>
      <c r="D54" s="14">
        <v>0</v>
      </c>
      <c r="E54" s="2">
        <v>0</v>
      </c>
      <c r="F54" s="2">
        <v>0</v>
      </c>
      <c r="G54" s="3" t="e">
        <f t="shared" si="5"/>
        <v>#DIV/0!</v>
      </c>
      <c r="H54" s="12" t="e">
        <f t="shared" si="1"/>
        <v>#DIV/0!</v>
      </c>
      <c r="I54" s="2">
        <v>0</v>
      </c>
      <c r="J54" s="2">
        <v>0</v>
      </c>
      <c r="K54" s="9" t="e">
        <f t="shared" si="2"/>
        <v>#DIV/0!</v>
      </c>
      <c r="L54" s="12" t="e">
        <f t="shared" si="3"/>
        <v>#DIV/0!</v>
      </c>
      <c r="M54" s="2">
        <v>0</v>
      </c>
      <c r="N54" s="2">
        <v>0</v>
      </c>
      <c r="O54" s="25" t="e">
        <f t="shared" si="4"/>
        <v>#DIV/0!</v>
      </c>
    </row>
    <row r="55" spans="1:15" x14ac:dyDescent="0.25">
      <c r="A55" s="1" t="s">
        <v>348</v>
      </c>
      <c r="B55" s="2">
        <v>162807</v>
      </c>
      <c r="C55" s="2">
        <v>228955</v>
      </c>
      <c r="D55" s="14">
        <v>170343</v>
      </c>
      <c r="E55" s="2">
        <v>134335</v>
      </c>
      <c r="F55" s="2">
        <v>106288</v>
      </c>
      <c r="G55" s="3">
        <f t="shared" si="5"/>
        <v>0.79121598987605612</v>
      </c>
      <c r="H55" s="12" t="str">
        <f t="shared" si="1"/>
        <v>behind</v>
      </c>
      <c r="I55" s="2">
        <v>12580</v>
      </c>
      <c r="J55" s="2">
        <v>5398</v>
      </c>
      <c r="K55" s="9">
        <f t="shared" si="2"/>
        <v>0.42909379968203498</v>
      </c>
      <c r="L55" s="12" t="str">
        <f t="shared" si="3"/>
        <v>behind</v>
      </c>
      <c r="M55" s="2">
        <v>142296</v>
      </c>
      <c r="N55" s="2">
        <v>157000</v>
      </c>
      <c r="O55" s="25">
        <f t="shared" si="4"/>
        <v>1.1033338955416878</v>
      </c>
    </row>
    <row r="56" spans="1:15" hidden="1" x14ac:dyDescent="0.25">
      <c r="A56" s="1" t="s">
        <v>349</v>
      </c>
      <c r="B56" s="2">
        <v>1000</v>
      </c>
      <c r="C56" s="2">
        <v>0</v>
      </c>
      <c r="D56" s="14">
        <v>0</v>
      </c>
      <c r="E56" s="2">
        <v>0</v>
      </c>
      <c r="F56" s="2">
        <v>0</v>
      </c>
      <c r="G56" s="3" t="e">
        <f t="shared" si="5"/>
        <v>#DIV/0!</v>
      </c>
      <c r="H56" s="12" t="e">
        <f t="shared" si="1"/>
        <v>#DIV/0!</v>
      </c>
      <c r="I56" s="2">
        <v>0</v>
      </c>
      <c r="J56" s="2">
        <v>0</v>
      </c>
      <c r="K56" s="9" t="e">
        <f t="shared" si="2"/>
        <v>#DIV/0!</v>
      </c>
      <c r="L56" s="12" t="e">
        <f t="shared" si="3"/>
        <v>#DIV/0!</v>
      </c>
      <c r="M56" s="2">
        <v>0</v>
      </c>
      <c r="N56" s="2">
        <v>0</v>
      </c>
      <c r="O56" s="25" t="e">
        <f t="shared" si="4"/>
        <v>#DIV/0!</v>
      </c>
    </row>
    <row r="57" spans="1:15" x14ac:dyDescent="0.25">
      <c r="A57" s="1" t="s">
        <v>350</v>
      </c>
      <c r="B57" s="2">
        <v>0</v>
      </c>
      <c r="C57" s="2">
        <v>0</v>
      </c>
      <c r="D57" s="14">
        <v>0</v>
      </c>
      <c r="E57" s="2">
        <v>0</v>
      </c>
      <c r="F57" s="2">
        <v>0</v>
      </c>
      <c r="G57" s="3" t="e">
        <f t="shared" si="5"/>
        <v>#DIV/0!</v>
      </c>
      <c r="H57" s="12" t="e">
        <f t="shared" si="1"/>
        <v>#DIV/0!</v>
      </c>
      <c r="I57" s="2">
        <v>0</v>
      </c>
      <c r="J57" s="2">
        <v>0</v>
      </c>
      <c r="K57" s="9" t="e">
        <f t="shared" si="2"/>
        <v>#DIV/0!</v>
      </c>
      <c r="L57" s="12" t="e">
        <f t="shared" si="3"/>
        <v>#DIV/0!</v>
      </c>
      <c r="M57" s="2">
        <v>0</v>
      </c>
      <c r="N57" s="2">
        <v>0</v>
      </c>
      <c r="O57" s="25" t="e">
        <f t="shared" si="4"/>
        <v>#DIV/0!</v>
      </c>
    </row>
    <row r="58" spans="1:15" x14ac:dyDescent="0.25">
      <c r="A58" s="4" t="s">
        <v>351</v>
      </c>
      <c r="B58" s="2">
        <v>19242</v>
      </c>
      <c r="C58" s="2">
        <v>11352</v>
      </c>
      <c r="D58" s="14">
        <v>0</v>
      </c>
      <c r="E58" s="2">
        <v>0</v>
      </c>
      <c r="F58" s="2">
        <v>0</v>
      </c>
      <c r="G58" s="3" t="e">
        <f t="shared" si="5"/>
        <v>#DIV/0!</v>
      </c>
      <c r="H58" s="12" t="e">
        <f t="shared" si="1"/>
        <v>#DIV/0!</v>
      </c>
      <c r="I58" s="2">
        <v>0</v>
      </c>
      <c r="J58" s="2">
        <v>0</v>
      </c>
      <c r="K58" s="9" t="e">
        <f t="shared" si="2"/>
        <v>#DIV/0!</v>
      </c>
      <c r="L58" s="12" t="e">
        <f t="shared" si="3"/>
        <v>#DIV/0!</v>
      </c>
      <c r="M58" s="2">
        <v>0</v>
      </c>
      <c r="N58" s="2">
        <v>0</v>
      </c>
      <c r="O58" s="25" t="e">
        <f t="shared" si="4"/>
        <v>#DIV/0!</v>
      </c>
    </row>
    <row r="59" spans="1:15" hidden="1" x14ac:dyDescent="0.25">
      <c r="A59" s="4" t="s">
        <v>352</v>
      </c>
      <c r="B59" s="2">
        <v>0</v>
      </c>
      <c r="C59" s="2">
        <v>0</v>
      </c>
      <c r="D59" s="14">
        <v>0</v>
      </c>
      <c r="E59" s="2">
        <v>0</v>
      </c>
      <c r="F59" s="2">
        <v>0</v>
      </c>
      <c r="G59" s="3" t="e">
        <f t="shared" si="5"/>
        <v>#DIV/0!</v>
      </c>
      <c r="H59" s="12" t="e">
        <f t="shared" si="1"/>
        <v>#DIV/0!</v>
      </c>
      <c r="I59" s="2">
        <v>0</v>
      </c>
      <c r="J59" s="2">
        <v>0</v>
      </c>
      <c r="K59" s="9" t="e">
        <f t="shared" si="2"/>
        <v>#DIV/0!</v>
      </c>
      <c r="L59" s="12" t="e">
        <f t="shared" si="3"/>
        <v>#DIV/0!</v>
      </c>
      <c r="O59" s="26"/>
    </row>
    <row r="60" spans="1:15" x14ac:dyDescent="0.25">
      <c r="A60" s="1" t="s">
        <v>488</v>
      </c>
      <c r="I60" s="2"/>
      <c r="J60" s="2"/>
      <c r="N60" s="2">
        <v>400000</v>
      </c>
      <c r="O60" s="26"/>
    </row>
    <row r="61" spans="1:15" x14ac:dyDescent="0.25">
      <c r="A61" s="1" t="s">
        <v>132</v>
      </c>
      <c r="B61" s="18">
        <f>SUM(B3:B59)</f>
        <v>16187946</v>
      </c>
      <c r="C61" s="18">
        <f>SUM(C3:C59)</f>
        <v>15414305</v>
      </c>
      <c r="D61" s="23">
        <f>SUM(D3:D59)</f>
        <v>12239874</v>
      </c>
      <c r="E61" s="18">
        <f>SUM(E3:E59)</f>
        <v>9997265</v>
      </c>
      <c r="F61" s="18">
        <f>SUM(F3:F59)</f>
        <v>9094138.5</v>
      </c>
      <c r="G61" s="3">
        <f>F61/E61</f>
        <v>0.90966264273278741</v>
      </c>
      <c r="H61" s="12" t="str">
        <f t="shared" si="1"/>
        <v>behind</v>
      </c>
      <c r="I61" s="18">
        <f>SUM(I3:I59)</f>
        <v>1069326</v>
      </c>
      <c r="J61" s="18">
        <f>SUM(J3:J59)</f>
        <v>928433.5</v>
      </c>
      <c r="K61" s="3">
        <f>J61/I61</f>
        <v>0.86824177098471378</v>
      </c>
      <c r="L61" s="12" t="str">
        <f>IF(K61&lt;0.96,"behind",IF(K61&gt;1.04,"ahead","on track"))</f>
        <v>behind</v>
      </c>
      <c r="M61" s="18">
        <f>SUM(M3:M59)</f>
        <v>11517962.5</v>
      </c>
      <c r="N61" s="18">
        <f>SUM(N3:N60)</f>
        <v>13624000</v>
      </c>
      <c r="O61" s="27">
        <f>N61/M61</f>
        <v>1.1828480948778919</v>
      </c>
    </row>
    <row r="62" spans="1:15" x14ac:dyDescent="0.25">
      <c r="I62" s="2"/>
      <c r="J62" s="2"/>
    </row>
    <row r="63" spans="1:15" x14ac:dyDescent="0.25">
      <c r="C63" s="9"/>
      <c r="D63" s="24" t="s">
        <v>37</v>
      </c>
      <c r="M63">
        <v>10023</v>
      </c>
      <c r="N63">
        <v>10800</v>
      </c>
      <c r="O63" s="28">
        <v>1.0780000000000001</v>
      </c>
    </row>
    <row r="64" spans="1:15" x14ac:dyDescent="0.25">
      <c r="D64" s="16" t="s">
        <v>211</v>
      </c>
      <c r="M64">
        <v>8868</v>
      </c>
      <c r="N64">
        <v>9767</v>
      </c>
      <c r="O64" s="28">
        <v>1.101</v>
      </c>
    </row>
    <row r="65" spans="4:15" x14ac:dyDescent="0.25">
      <c r="D65" s="16" t="s">
        <v>82</v>
      </c>
      <c r="M65">
        <v>19233</v>
      </c>
      <c r="N65">
        <v>18452</v>
      </c>
      <c r="O65" s="28">
        <v>0.95899999999999996</v>
      </c>
    </row>
  </sheetData>
  <mergeCells count="3">
    <mergeCell ref="B1:D1"/>
    <mergeCell ref="E1:H1"/>
    <mergeCell ref="I1:L1"/>
  </mergeCells>
  <phoneticPr fontId="0" type="noConversion"/>
  <pageMargins left="0.75" right="0.75" top="1" bottom="1" header="0.5" footer="0.5"/>
  <pageSetup scale="6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A295-D59C-46E0-94E9-500428B6EC8A}">
  <dimension ref="A1:P65"/>
  <sheetViews>
    <sheetView zoomScale="75" workbookViewId="0">
      <pane ySplit="2" topLeftCell="A3" activePane="bottomLeft" state="frozen"/>
      <selection pane="bottomLeft" activeCell="I70" sqref="I70"/>
    </sheetView>
  </sheetViews>
  <sheetFormatPr defaultRowHeight="13.2" x14ac:dyDescent="0.25"/>
  <cols>
    <col min="1" max="1" width="17.5546875" customWidth="1"/>
    <col min="2" max="3" width="11.21875" bestFit="1" customWidth="1"/>
    <col min="4" max="4" width="11.44140625" style="16" customWidth="1"/>
    <col min="5" max="6" width="11.21875" bestFit="1" customWidth="1"/>
    <col min="7" max="7" width="9.21875" customWidth="1"/>
    <col min="8" max="8" width="11.44140625" style="16" customWidth="1"/>
    <col min="9" max="10" width="13.21875" customWidth="1"/>
    <col min="11" max="11" width="14.77734375" customWidth="1"/>
    <col min="12" max="12" width="11.44140625" style="16" customWidth="1"/>
    <col min="13" max="13" width="13.21875" bestFit="1" customWidth="1"/>
    <col min="14" max="14" width="11.21875" bestFit="1" customWidth="1"/>
  </cols>
  <sheetData>
    <row r="1" spans="1:15" x14ac:dyDescent="0.25">
      <c r="A1" s="17" t="s">
        <v>354</v>
      </c>
      <c r="B1" s="52" t="s">
        <v>190</v>
      </c>
      <c r="C1" s="52"/>
      <c r="D1" s="52"/>
      <c r="E1" s="52" t="s">
        <v>191</v>
      </c>
      <c r="F1" s="52"/>
      <c r="G1" s="52"/>
      <c r="H1" s="52"/>
      <c r="I1" s="51" t="s">
        <v>192</v>
      </c>
      <c r="J1" s="51"/>
      <c r="K1" s="51"/>
      <c r="L1" s="51"/>
    </row>
    <row r="2" spans="1:15" s="22" customFormat="1" ht="52.8" x14ac:dyDescent="0.25">
      <c r="A2" s="5" t="s">
        <v>566</v>
      </c>
      <c r="B2" s="6" t="s">
        <v>567</v>
      </c>
      <c r="C2" s="6" t="s">
        <v>568</v>
      </c>
      <c r="D2" s="13" t="s">
        <v>6</v>
      </c>
      <c r="E2" s="19" t="s">
        <v>437</v>
      </c>
      <c r="F2" s="6" t="s">
        <v>447</v>
      </c>
      <c r="G2" s="6" t="s">
        <v>438</v>
      </c>
      <c r="H2" s="20" t="s">
        <v>439</v>
      </c>
      <c r="I2" s="8" t="s">
        <v>554</v>
      </c>
      <c r="J2" s="8" t="s">
        <v>555</v>
      </c>
      <c r="K2" s="21" t="s">
        <v>200</v>
      </c>
      <c r="L2" s="20" t="s">
        <v>439</v>
      </c>
      <c r="M2" s="8" t="s">
        <v>389</v>
      </c>
      <c r="N2" s="8" t="s">
        <v>358</v>
      </c>
      <c r="O2" s="8" t="s">
        <v>359</v>
      </c>
    </row>
    <row r="3" spans="1:15" hidden="1" x14ac:dyDescent="0.25">
      <c r="A3" s="4" t="s">
        <v>355</v>
      </c>
      <c r="B3" s="2">
        <v>0</v>
      </c>
      <c r="C3" s="2">
        <v>0</v>
      </c>
      <c r="D3" s="14">
        <v>0</v>
      </c>
      <c r="E3" s="2">
        <v>0</v>
      </c>
      <c r="F3" s="2">
        <v>0</v>
      </c>
      <c r="G3" s="3" t="e">
        <f>F3/E3</f>
        <v>#DIV/0!</v>
      </c>
      <c r="H3" s="12" t="e">
        <f>IF(G3&lt;0.96,"behind",IF(G3&gt;1.04,"ahead","on track"))</f>
        <v>#DIV/0!</v>
      </c>
      <c r="I3" s="2">
        <v>0</v>
      </c>
      <c r="J3" s="2">
        <v>0</v>
      </c>
      <c r="K3" s="9" t="e">
        <f>J3/I3</f>
        <v>#DIV/0!</v>
      </c>
      <c r="L3" s="12" t="e">
        <f>IF(K3&lt;0.96,"behind",IF(K3&gt;1.04,"ahead","on track"))</f>
        <v>#DIV/0!</v>
      </c>
    </row>
    <row r="4" spans="1:15" x14ac:dyDescent="0.25">
      <c r="A4" s="1" t="s">
        <v>356</v>
      </c>
      <c r="B4" s="2">
        <v>0</v>
      </c>
      <c r="C4" s="2">
        <v>0</v>
      </c>
      <c r="D4" s="14">
        <v>0</v>
      </c>
      <c r="E4" s="2">
        <v>0</v>
      </c>
      <c r="F4" s="2">
        <v>0</v>
      </c>
      <c r="G4" s="3" t="e">
        <f t="shared" ref="G4:G59" si="0">F4/E4</f>
        <v>#DIV/0!</v>
      </c>
      <c r="H4" s="12" t="e">
        <f t="shared" ref="H4:H59" si="1">IF(G4&lt;0.96,"behind",IF(G4&gt;1.04,"ahead","on track"))</f>
        <v>#DIV/0!</v>
      </c>
      <c r="I4" s="2">
        <v>0</v>
      </c>
      <c r="J4" s="2">
        <v>0</v>
      </c>
      <c r="K4" s="9" t="e">
        <f t="shared" ref="K4:K59" si="2">J4/I4</f>
        <v>#DIV/0!</v>
      </c>
      <c r="L4" s="12" t="e">
        <f t="shared" ref="L4:L59" si="3">IF(K4&lt;0.96,"behind",IF(K4&gt;1.04,"ahead","on track"))</f>
        <v>#DIV/0!</v>
      </c>
      <c r="M4" s="2">
        <v>0</v>
      </c>
      <c r="N4" s="2">
        <v>0</v>
      </c>
      <c r="O4" s="25" t="e">
        <f>N4/M4</f>
        <v>#DIV/0!</v>
      </c>
    </row>
    <row r="5" spans="1:15" hidden="1" x14ac:dyDescent="0.25">
      <c r="A5" s="1" t="s">
        <v>357</v>
      </c>
      <c r="B5" s="2">
        <v>0</v>
      </c>
      <c r="C5" s="2">
        <v>0</v>
      </c>
      <c r="D5" s="14">
        <v>0</v>
      </c>
      <c r="E5" s="2">
        <v>0</v>
      </c>
      <c r="F5" s="2">
        <v>0</v>
      </c>
      <c r="G5" s="3" t="e">
        <f t="shared" si="0"/>
        <v>#DIV/0!</v>
      </c>
      <c r="H5" s="12" t="e">
        <f t="shared" si="1"/>
        <v>#DIV/0!</v>
      </c>
      <c r="I5" s="2">
        <v>0</v>
      </c>
      <c r="J5" s="2">
        <v>0</v>
      </c>
      <c r="K5" s="9" t="e">
        <f t="shared" si="2"/>
        <v>#DIV/0!</v>
      </c>
      <c r="L5" s="12" t="e">
        <f t="shared" si="3"/>
        <v>#DIV/0!</v>
      </c>
      <c r="M5" s="2">
        <v>0</v>
      </c>
      <c r="N5" s="2">
        <v>0</v>
      </c>
      <c r="O5" s="25" t="e">
        <f t="shared" ref="O5:O55" si="4">N5/M5</f>
        <v>#DIV/0!</v>
      </c>
    </row>
    <row r="6" spans="1:15" hidden="1" x14ac:dyDescent="0.25">
      <c r="A6" s="1" t="s">
        <v>557</v>
      </c>
      <c r="B6" s="2">
        <v>0</v>
      </c>
      <c r="C6" s="2">
        <v>0</v>
      </c>
      <c r="D6" s="14">
        <v>0</v>
      </c>
      <c r="E6" s="2">
        <v>0</v>
      </c>
      <c r="F6" s="2">
        <v>0</v>
      </c>
      <c r="G6" s="3" t="e">
        <f t="shared" si="0"/>
        <v>#DIV/0!</v>
      </c>
      <c r="H6" s="12" t="e">
        <f t="shared" si="1"/>
        <v>#DIV/0!</v>
      </c>
      <c r="I6" s="2">
        <v>0</v>
      </c>
      <c r="J6" s="2">
        <v>0</v>
      </c>
      <c r="K6" s="9" t="e">
        <f t="shared" si="2"/>
        <v>#DIV/0!</v>
      </c>
      <c r="L6" s="12" t="e">
        <f t="shared" si="3"/>
        <v>#DIV/0!</v>
      </c>
      <c r="M6" s="2">
        <v>0</v>
      </c>
      <c r="N6" s="2">
        <v>0</v>
      </c>
      <c r="O6" s="25" t="e">
        <f t="shared" si="4"/>
        <v>#DIV/0!</v>
      </c>
    </row>
    <row r="7" spans="1:15" hidden="1" x14ac:dyDescent="0.25">
      <c r="A7" s="1" t="s">
        <v>558</v>
      </c>
      <c r="B7" s="2">
        <v>0</v>
      </c>
      <c r="C7" s="2">
        <v>0</v>
      </c>
      <c r="D7" s="14">
        <v>0</v>
      </c>
      <c r="E7" s="2">
        <v>0</v>
      </c>
      <c r="F7" s="2">
        <v>0</v>
      </c>
      <c r="G7" s="3" t="e">
        <f t="shared" si="0"/>
        <v>#DIV/0!</v>
      </c>
      <c r="H7" s="12" t="e">
        <f t="shared" si="1"/>
        <v>#DIV/0!</v>
      </c>
      <c r="I7" s="2">
        <v>0</v>
      </c>
      <c r="J7" s="2">
        <v>0</v>
      </c>
      <c r="K7" s="9" t="e">
        <f t="shared" si="2"/>
        <v>#DIV/0!</v>
      </c>
      <c r="L7" s="12" t="e">
        <f t="shared" si="3"/>
        <v>#DIV/0!</v>
      </c>
      <c r="M7" s="2">
        <v>0</v>
      </c>
      <c r="N7" s="2">
        <v>0</v>
      </c>
      <c r="O7" s="25" t="e">
        <f t="shared" si="4"/>
        <v>#DIV/0!</v>
      </c>
    </row>
    <row r="8" spans="1:15" hidden="1" x14ac:dyDescent="0.25">
      <c r="A8" s="1" t="s">
        <v>559</v>
      </c>
      <c r="B8" s="2">
        <v>0</v>
      </c>
      <c r="C8" s="2">
        <v>0</v>
      </c>
      <c r="D8" s="14">
        <v>0</v>
      </c>
      <c r="E8" s="2">
        <v>0</v>
      </c>
      <c r="F8" s="2">
        <v>0</v>
      </c>
      <c r="G8" s="3" t="e">
        <f t="shared" si="0"/>
        <v>#DIV/0!</v>
      </c>
      <c r="H8" s="12" t="e">
        <f t="shared" si="1"/>
        <v>#DIV/0!</v>
      </c>
      <c r="I8" s="2">
        <v>0</v>
      </c>
      <c r="J8" s="2">
        <v>0</v>
      </c>
      <c r="K8" s="9" t="e">
        <f t="shared" si="2"/>
        <v>#DIV/0!</v>
      </c>
      <c r="L8" s="12" t="e">
        <f t="shared" si="3"/>
        <v>#DIV/0!</v>
      </c>
      <c r="M8" s="2">
        <v>0</v>
      </c>
      <c r="N8" s="2">
        <v>0</v>
      </c>
      <c r="O8" s="25" t="e">
        <f t="shared" si="4"/>
        <v>#DIV/0!</v>
      </c>
    </row>
    <row r="9" spans="1:15" hidden="1" x14ac:dyDescent="0.25">
      <c r="A9" s="1" t="s">
        <v>308</v>
      </c>
      <c r="B9" s="2">
        <v>0</v>
      </c>
      <c r="C9" s="2">
        <v>0</v>
      </c>
      <c r="D9" s="14">
        <v>0</v>
      </c>
      <c r="E9" s="2">
        <v>0</v>
      </c>
      <c r="F9" s="2">
        <v>0</v>
      </c>
      <c r="G9" s="3" t="e">
        <f t="shared" si="0"/>
        <v>#DIV/0!</v>
      </c>
      <c r="H9" s="12" t="e">
        <f t="shared" si="1"/>
        <v>#DIV/0!</v>
      </c>
      <c r="I9" s="2">
        <v>0</v>
      </c>
      <c r="J9" s="2">
        <v>0</v>
      </c>
      <c r="K9" s="9" t="e">
        <f t="shared" si="2"/>
        <v>#DIV/0!</v>
      </c>
      <c r="L9" s="12" t="e">
        <f t="shared" si="3"/>
        <v>#DIV/0!</v>
      </c>
      <c r="M9" s="2">
        <v>0</v>
      </c>
      <c r="N9" s="2">
        <v>0</v>
      </c>
      <c r="O9" s="25" t="e">
        <f t="shared" si="4"/>
        <v>#DIV/0!</v>
      </c>
    </row>
    <row r="10" spans="1:15" x14ac:dyDescent="0.25">
      <c r="A10" s="1" t="s">
        <v>309</v>
      </c>
      <c r="B10" s="2">
        <v>0</v>
      </c>
      <c r="C10" s="2">
        <v>0</v>
      </c>
      <c r="D10" s="14">
        <v>0</v>
      </c>
      <c r="E10" s="2">
        <v>0</v>
      </c>
      <c r="F10" s="2">
        <v>0</v>
      </c>
      <c r="G10" s="3" t="e">
        <f t="shared" si="0"/>
        <v>#DIV/0!</v>
      </c>
      <c r="H10" s="12" t="e">
        <f t="shared" si="1"/>
        <v>#DIV/0!</v>
      </c>
      <c r="I10" s="2">
        <v>0</v>
      </c>
      <c r="J10" s="2">
        <v>0</v>
      </c>
      <c r="K10" s="9" t="e">
        <f t="shared" si="2"/>
        <v>#DIV/0!</v>
      </c>
      <c r="L10" s="12" t="e">
        <f t="shared" si="3"/>
        <v>#DIV/0!</v>
      </c>
      <c r="M10" s="2">
        <v>0</v>
      </c>
      <c r="N10" s="2">
        <v>0</v>
      </c>
      <c r="O10" s="25" t="e">
        <f t="shared" si="4"/>
        <v>#DIV/0!</v>
      </c>
    </row>
    <row r="11" spans="1:15" hidden="1" x14ac:dyDescent="0.25">
      <c r="A11" s="1" t="s">
        <v>310</v>
      </c>
      <c r="B11" s="2">
        <v>0</v>
      </c>
      <c r="C11" s="2">
        <v>0</v>
      </c>
      <c r="D11" s="14">
        <v>0</v>
      </c>
      <c r="E11" s="2">
        <v>0</v>
      </c>
      <c r="F11" s="2">
        <v>0</v>
      </c>
      <c r="G11" s="3" t="e">
        <f t="shared" si="0"/>
        <v>#DIV/0!</v>
      </c>
      <c r="H11" s="12" t="e">
        <f t="shared" si="1"/>
        <v>#DIV/0!</v>
      </c>
      <c r="I11" s="2">
        <v>0</v>
      </c>
      <c r="J11" s="2">
        <v>0</v>
      </c>
      <c r="K11" s="9" t="e">
        <f t="shared" si="2"/>
        <v>#DIV/0!</v>
      </c>
      <c r="L11" s="12" t="e">
        <f t="shared" si="3"/>
        <v>#DIV/0!</v>
      </c>
      <c r="M11" s="2">
        <v>0</v>
      </c>
      <c r="N11" s="2">
        <v>0</v>
      </c>
      <c r="O11" s="25" t="e">
        <f t="shared" si="4"/>
        <v>#DIV/0!</v>
      </c>
    </row>
    <row r="12" spans="1:15" hidden="1" x14ac:dyDescent="0.25">
      <c r="A12" s="1" t="s">
        <v>311</v>
      </c>
      <c r="B12" s="2">
        <v>0</v>
      </c>
      <c r="C12" s="2">
        <v>0</v>
      </c>
      <c r="D12" s="14">
        <v>0</v>
      </c>
      <c r="E12" s="2">
        <v>0</v>
      </c>
      <c r="F12" s="2">
        <v>0</v>
      </c>
      <c r="G12" s="3" t="e">
        <f t="shared" si="0"/>
        <v>#DIV/0!</v>
      </c>
      <c r="H12" s="12" t="e">
        <f t="shared" si="1"/>
        <v>#DIV/0!</v>
      </c>
      <c r="I12" s="2">
        <v>0</v>
      </c>
      <c r="J12" s="2">
        <v>0</v>
      </c>
      <c r="K12" s="9" t="e">
        <f t="shared" si="2"/>
        <v>#DIV/0!</v>
      </c>
      <c r="L12" s="12" t="e">
        <f t="shared" si="3"/>
        <v>#DIV/0!</v>
      </c>
      <c r="M12" s="2">
        <v>0</v>
      </c>
      <c r="N12" s="2">
        <v>0</v>
      </c>
      <c r="O12" s="25" t="e">
        <f t="shared" si="4"/>
        <v>#DIV/0!</v>
      </c>
    </row>
    <row r="13" spans="1:15" hidden="1" x14ac:dyDescent="0.25">
      <c r="A13" s="1" t="s">
        <v>312</v>
      </c>
      <c r="B13" s="2">
        <v>0</v>
      </c>
      <c r="C13" s="2">
        <v>0</v>
      </c>
      <c r="D13" s="14">
        <v>0</v>
      </c>
      <c r="E13" s="2">
        <v>0</v>
      </c>
      <c r="F13" s="2">
        <v>0</v>
      </c>
      <c r="G13" s="3" t="e">
        <f t="shared" si="0"/>
        <v>#DIV/0!</v>
      </c>
      <c r="H13" s="12" t="e">
        <f t="shared" si="1"/>
        <v>#DIV/0!</v>
      </c>
      <c r="I13" s="2">
        <v>0</v>
      </c>
      <c r="J13" s="2">
        <v>0</v>
      </c>
      <c r="K13" s="9" t="e">
        <f t="shared" si="2"/>
        <v>#DIV/0!</v>
      </c>
      <c r="L13" s="12" t="e">
        <f t="shared" si="3"/>
        <v>#DIV/0!</v>
      </c>
      <c r="M13" s="2">
        <v>0</v>
      </c>
      <c r="N13" s="2">
        <v>0</v>
      </c>
      <c r="O13" s="25" t="e">
        <f t="shared" si="4"/>
        <v>#DIV/0!</v>
      </c>
    </row>
    <row r="14" spans="1:15" x14ac:dyDescent="0.25">
      <c r="A14" s="1" t="s">
        <v>313</v>
      </c>
      <c r="B14" s="2">
        <v>0</v>
      </c>
      <c r="C14" s="2">
        <v>0</v>
      </c>
      <c r="D14" s="14">
        <v>0</v>
      </c>
      <c r="E14" s="2">
        <v>0</v>
      </c>
      <c r="F14" s="2">
        <v>0</v>
      </c>
      <c r="G14" s="3" t="e">
        <f t="shared" si="0"/>
        <v>#DIV/0!</v>
      </c>
      <c r="H14" s="12" t="e">
        <f t="shared" si="1"/>
        <v>#DIV/0!</v>
      </c>
      <c r="I14" s="2">
        <v>0</v>
      </c>
      <c r="J14" s="2">
        <v>0</v>
      </c>
      <c r="K14" s="9" t="e">
        <f t="shared" si="2"/>
        <v>#DIV/0!</v>
      </c>
      <c r="L14" s="12" t="e">
        <f t="shared" si="3"/>
        <v>#DIV/0!</v>
      </c>
      <c r="M14" s="2">
        <v>0</v>
      </c>
      <c r="N14" s="2">
        <v>0</v>
      </c>
      <c r="O14" s="25" t="e">
        <f t="shared" si="4"/>
        <v>#DIV/0!</v>
      </c>
    </row>
    <row r="15" spans="1:15" x14ac:dyDescent="0.25">
      <c r="A15" s="1" t="s">
        <v>314</v>
      </c>
      <c r="B15" s="2">
        <v>0</v>
      </c>
      <c r="C15" s="2">
        <v>0</v>
      </c>
      <c r="D15" s="14">
        <v>0</v>
      </c>
      <c r="E15" s="2">
        <v>0</v>
      </c>
      <c r="F15" s="2">
        <v>0</v>
      </c>
      <c r="G15" s="3" t="e">
        <f t="shared" si="0"/>
        <v>#DIV/0!</v>
      </c>
      <c r="H15" s="12" t="e">
        <f t="shared" si="1"/>
        <v>#DIV/0!</v>
      </c>
      <c r="I15" s="2">
        <v>0</v>
      </c>
      <c r="J15" s="2">
        <v>0</v>
      </c>
      <c r="K15" s="9" t="e">
        <f t="shared" si="2"/>
        <v>#DIV/0!</v>
      </c>
      <c r="L15" s="12" t="e">
        <f t="shared" si="3"/>
        <v>#DIV/0!</v>
      </c>
      <c r="M15" s="2">
        <v>0</v>
      </c>
      <c r="N15" s="2">
        <v>0</v>
      </c>
      <c r="O15" s="25" t="e">
        <f t="shared" si="4"/>
        <v>#DIV/0!</v>
      </c>
    </row>
    <row r="16" spans="1:15" x14ac:dyDescent="0.25">
      <c r="A16" s="1" t="s">
        <v>315</v>
      </c>
      <c r="B16" s="2">
        <v>0</v>
      </c>
      <c r="C16" s="2">
        <v>0</v>
      </c>
      <c r="D16" s="14">
        <v>0</v>
      </c>
      <c r="E16" s="2">
        <v>0</v>
      </c>
      <c r="F16" s="2">
        <v>0</v>
      </c>
      <c r="G16" s="3" t="e">
        <f t="shared" si="0"/>
        <v>#DIV/0!</v>
      </c>
      <c r="H16" s="12" t="e">
        <f t="shared" si="1"/>
        <v>#DIV/0!</v>
      </c>
      <c r="I16" s="2">
        <v>0</v>
      </c>
      <c r="J16" s="2">
        <v>0</v>
      </c>
      <c r="K16" s="9" t="e">
        <f t="shared" si="2"/>
        <v>#DIV/0!</v>
      </c>
      <c r="L16" s="12" t="e">
        <f t="shared" si="3"/>
        <v>#DIV/0!</v>
      </c>
      <c r="M16" s="2">
        <v>0</v>
      </c>
      <c r="N16" s="2">
        <v>0</v>
      </c>
      <c r="O16" s="25" t="e">
        <f t="shared" si="4"/>
        <v>#DIV/0!</v>
      </c>
    </row>
    <row r="17" spans="1:15" hidden="1" x14ac:dyDescent="0.25">
      <c r="A17" s="4" t="s">
        <v>316</v>
      </c>
      <c r="B17" s="2">
        <v>0</v>
      </c>
      <c r="C17" s="2">
        <v>0</v>
      </c>
      <c r="D17" s="14">
        <v>0</v>
      </c>
      <c r="E17" s="2">
        <v>0</v>
      </c>
      <c r="F17" s="2">
        <v>0</v>
      </c>
      <c r="G17" s="3" t="e">
        <f t="shared" si="0"/>
        <v>#DIV/0!</v>
      </c>
      <c r="H17" s="12" t="e">
        <f t="shared" si="1"/>
        <v>#DIV/0!</v>
      </c>
      <c r="I17" s="2">
        <v>0</v>
      </c>
      <c r="J17" s="2">
        <v>0</v>
      </c>
      <c r="K17" s="9" t="e">
        <f t="shared" si="2"/>
        <v>#DIV/0!</v>
      </c>
      <c r="L17" s="12" t="e">
        <f t="shared" si="3"/>
        <v>#DIV/0!</v>
      </c>
      <c r="M17" s="2">
        <v>0</v>
      </c>
      <c r="N17" s="2">
        <v>0</v>
      </c>
      <c r="O17" s="25" t="e">
        <f t="shared" si="4"/>
        <v>#DIV/0!</v>
      </c>
    </row>
    <row r="18" spans="1:15" hidden="1" x14ac:dyDescent="0.25">
      <c r="A18" s="4" t="s">
        <v>317</v>
      </c>
      <c r="B18" s="2">
        <v>0</v>
      </c>
      <c r="C18" s="2">
        <v>0</v>
      </c>
      <c r="D18" s="14">
        <v>0</v>
      </c>
      <c r="E18" s="2">
        <v>0</v>
      </c>
      <c r="F18" s="2">
        <v>0</v>
      </c>
      <c r="G18" s="3" t="e">
        <f t="shared" si="0"/>
        <v>#DIV/0!</v>
      </c>
      <c r="H18" s="12" t="e">
        <f t="shared" si="1"/>
        <v>#DIV/0!</v>
      </c>
      <c r="I18" s="2">
        <v>0</v>
      </c>
      <c r="J18" s="2">
        <v>0</v>
      </c>
      <c r="K18" s="9" t="e">
        <f t="shared" si="2"/>
        <v>#DIV/0!</v>
      </c>
      <c r="L18" s="12" t="e">
        <f t="shared" si="3"/>
        <v>#DIV/0!</v>
      </c>
      <c r="M18" s="2">
        <v>0</v>
      </c>
      <c r="N18" s="2">
        <v>0</v>
      </c>
      <c r="O18" s="25" t="e">
        <f t="shared" si="4"/>
        <v>#DIV/0!</v>
      </c>
    </row>
    <row r="19" spans="1:15" hidden="1" x14ac:dyDescent="0.25">
      <c r="A19" s="1" t="s">
        <v>318</v>
      </c>
      <c r="B19" s="2">
        <v>0</v>
      </c>
      <c r="C19" s="2">
        <v>0</v>
      </c>
      <c r="D19" s="14">
        <v>0</v>
      </c>
      <c r="E19" s="2">
        <v>0</v>
      </c>
      <c r="F19" s="2">
        <v>0</v>
      </c>
      <c r="G19" s="3" t="e">
        <f t="shared" si="0"/>
        <v>#DIV/0!</v>
      </c>
      <c r="H19" s="12" t="e">
        <f t="shared" si="1"/>
        <v>#DIV/0!</v>
      </c>
      <c r="I19" s="2">
        <v>0</v>
      </c>
      <c r="J19" s="2">
        <v>0</v>
      </c>
      <c r="K19" s="9" t="e">
        <f t="shared" si="2"/>
        <v>#DIV/0!</v>
      </c>
      <c r="L19" s="12" t="e">
        <f t="shared" si="3"/>
        <v>#DIV/0!</v>
      </c>
      <c r="M19" s="2">
        <v>0</v>
      </c>
      <c r="N19" s="2">
        <v>0</v>
      </c>
      <c r="O19" s="25" t="e">
        <f t="shared" si="4"/>
        <v>#DIV/0!</v>
      </c>
    </row>
    <row r="20" spans="1:15" x14ac:dyDescent="0.25">
      <c r="A20" s="1" t="s">
        <v>319</v>
      </c>
      <c r="B20" s="2">
        <v>0</v>
      </c>
      <c r="C20" s="2">
        <v>0</v>
      </c>
      <c r="D20" s="14">
        <v>0</v>
      </c>
      <c r="E20" s="2">
        <v>0</v>
      </c>
      <c r="F20" s="2">
        <v>0</v>
      </c>
      <c r="G20" s="3" t="e">
        <f t="shared" si="0"/>
        <v>#DIV/0!</v>
      </c>
      <c r="H20" s="12" t="e">
        <f t="shared" si="1"/>
        <v>#DIV/0!</v>
      </c>
      <c r="I20" s="2">
        <v>0</v>
      </c>
      <c r="J20" s="2">
        <v>0</v>
      </c>
      <c r="K20" s="9" t="e">
        <f t="shared" si="2"/>
        <v>#DIV/0!</v>
      </c>
      <c r="L20" s="12" t="e">
        <f t="shared" si="3"/>
        <v>#DIV/0!</v>
      </c>
      <c r="M20" s="2">
        <v>0</v>
      </c>
      <c r="N20" s="2">
        <v>0</v>
      </c>
      <c r="O20" s="25" t="e">
        <f t="shared" si="4"/>
        <v>#DIV/0!</v>
      </c>
    </row>
    <row r="21" spans="1:15" x14ac:dyDescent="0.25">
      <c r="A21" s="1" t="s">
        <v>320</v>
      </c>
      <c r="B21" s="2">
        <v>0</v>
      </c>
      <c r="C21" s="2">
        <v>0</v>
      </c>
      <c r="D21" s="14">
        <v>0</v>
      </c>
      <c r="E21" s="2">
        <v>0</v>
      </c>
      <c r="F21" s="2">
        <v>0</v>
      </c>
      <c r="G21" s="3" t="e">
        <f t="shared" si="0"/>
        <v>#DIV/0!</v>
      </c>
      <c r="H21" s="12" t="e">
        <f t="shared" si="1"/>
        <v>#DIV/0!</v>
      </c>
      <c r="I21" s="2">
        <v>0</v>
      </c>
      <c r="J21" s="2">
        <v>0</v>
      </c>
      <c r="K21" s="9" t="e">
        <f t="shared" si="2"/>
        <v>#DIV/0!</v>
      </c>
      <c r="L21" s="12" t="e">
        <f t="shared" si="3"/>
        <v>#DIV/0!</v>
      </c>
      <c r="M21" s="2">
        <v>0</v>
      </c>
      <c r="N21" s="2">
        <v>0</v>
      </c>
      <c r="O21" s="25" t="e">
        <f t="shared" si="4"/>
        <v>#DIV/0!</v>
      </c>
    </row>
    <row r="22" spans="1:15" x14ac:dyDescent="0.25">
      <c r="A22" s="1" t="s">
        <v>321</v>
      </c>
      <c r="B22" s="2">
        <v>0</v>
      </c>
      <c r="C22" s="2">
        <v>0</v>
      </c>
      <c r="D22" s="14">
        <v>0</v>
      </c>
      <c r="E22" s="2">
        <v>0</v>
      </c>
      <c r="F22" s="2">
        <v>0</v>
      </c>
      <c r="G22" s="3" t="e">
        <f t="shared" si="0"/>
        <v>#DIV/0!</v>
      </c>
      <c r="H22" s="12" t="e">
        <f t="shared" si="1"/>
        <v>#DIV/0!</v>
      </c>
      <c r="I22" s="2">
        <v>0</v>
      </c>
      <c r="J22" s="2">
        <v>0</v>
      </c>
      <c r="K22" s="9" t="e">
        <f t="shared" si="2"/>
        <v>#DIV/0!</v>
      </c>
      <c r="L22" s="12" t="e">
        <f t="shared" si="3"/>
        <v>#DIV/0!</v>
      </c>
      <c r="M22" s="2">
        <v>0</v>
      </c>
      <c r="N22" s="2">
        <v>0</v>
      </c>
      <c r="O22" s="25" t="e">
        <f t="shared" si="4"/>
        <v>#DIV/0!</v>
      </c>
    </row>
    <row r="23" spans="1:15" x14ac:dyDescent="0.25">
      <c r="A23" s="1" t="s">
        <v>322</v>
      </c>
      <c r="B23" s="2">
        <v>0</v>
      </c>
      <c r="C23" s="2">
        <v>0</v>
      </c>
      <c r="D23" s="14">
        <v>0</v>
      </c>
      <c r="E23" s="2">
        <v>0</v>
      </c>
      <c r="F23" s="2">
        <v>0</v>
      </c>
      <c r="G23" s="3" t="e">
        <f t="shared" si="0"/>
        <v>#DIV/0!</v>
      </c>
      <c r="H23" s="12" t="e">
        <f t="shared" si="1"/>
        <v>#DIV/0!</v>
      </c>
      <c r="I23" s="2">
        <v>0</v>
      </c>
      <c r="J23" s="2">
        <v>0</v>
      </c>
      <c r="K23" s="9" t="e">
        <f t="shared" si="2"/>
        <v>#DIV/0!</v>
      </c>
      <c r="L23" s="12" t="e">
        <f t="shared" si="3"/>
        <v>#DIV/0!</v>
      </c>
      <c r="M23" s="2">
        <v>0</v>
      </c>
      <c r="N23" s="2">
        <v>0</v>
      </c>
      <c r="O23" s="25" t="e">
        <f t="shared" si="4"/>
        <v>#DIV/0!</v>
      </c>
    </row>
    <row r="24" spans="1:15" x14ac:dyDescent="0.25">
      <c r="A24" s="1" t="s">
        <v>323</v>
      </c>
      <c r="B24" s="2">
        <v>0</v>
      </c>
      <c r="C24" s="2">
        <v>0</v>
      </c>
      <c r="D24" s="14">
        <v>0</v>
      </c>
      <c r="E24" s="2">
        <v>0</v>
      </c>
      <c r="F24" s="2">
        <v>0</v>
      </c>
      <c r="G24" s="3" t="e">
        <f t="shared" si="0"/>
        <v>#DIV/0!</v>
      </c>
      <c r="H24" s="12" t="e">
        <f t="shared" si="1"/>
        <v>#DIV/0!</v>
      </c>
      <c r="I24" s="2">
        <v>0</v>
      </c>
      <c r="J24" s="2">
        <v>0</v>
      </c>
      <c r="K24" s="9" t="e">
        <f t="shared" si="2"/>
        <v>#DIV/0!</v>
      </c>
      <c r="L24" s="12" t="e">
        <f t="shared" si="3"/>
        <v>#DIV/0!</v>
      </c>
      <c r="M24" s="2">
        <v>0</v>
      </c>
      <c r="N24" s="2">
        <v>0</v>
      </c>
      <c r="O24" s="25" t="e">
        <f t="shared" si="4"/>
        <v>#DIV/0!</v>
      </c>
    </row>
    <row r="25" spans="1:15" x14ac:dyDescent="0.25">
      <c r="A25" s="1" t="s">
        <v>324</v>
      </c>
      <c r="B25" s="2">
        <v>0</v>
      </c>
      <c r="C25" s="2">
        <v>0</v>
      </c>
      <c r="D25" s="14">
        <v>0</v>
      </c>
      <c r="E25" s="2">
        <v>0</v>
      </c>
      <c r="F25" s="2">
        <v>0</v>
      </c>
      <c r="G25" s="3" t="e">
        <f t="shared" si="0"/>
        <v>#DIV/0!</v>
      </c>
      <c r="H25" s="12" t="e">
        <f t="shared" si="1"/>
        <v>#DIV/0!</v>
      </c>
      <c r="I25" s="2">
        <v>0</v>
      </c>
      <c r="J25" s="2">
        <v>0</v>
      </c>
      <c r="K25" s="9" t="e">
        <f t="shared" si="2"/>
        <v>#DIV/0!</v>
      </c>
      <c r="L25" s="12" t="e">
        <f t="shared" si="3"/>
        <v>#DIV/0!</v>
      </c>
      <c r="M25" s="2">
        <v>0</v>
      </c>
      <c r="N25" s="2">
        <v>0</v>
      </c>
      <c r="O25" s="25" t="e">
        <f t="shared" si="4"/>
        <v>#DIV/0!</v>
      </c>
    </row>
    <row r="26" spans="1:15" hidden="1" x14ac:dyDescent="0.25">
      <c r="A26" s="1" t="s">
        <v>325</v>
      </c>
      <c r="B26" s="2">
        <v>0</v>
      </c>
      <c r="C26" s="2">
        <v>0</v>
      </c>
      <c r="D26" s="14">
        <v>0</v>
      </c>
      <c r="E26" s="2">
        <v>0</v>
      </c>
      <c r="F26" s="2">
        <v>0</v>
      </c>
      <c r="G26" s="3" t="e">
        <f t="shared" si="0"/>
        <v>#DIV/0!</v>
      </c>
      <c r="H26" s="12" t="e">
        <f t="shared" si="1"/>
        <v>#DIV/0!</v>
      </c>
      <c r="I26" s="2">
        <v>0</v>
      </c>
      <c r="J26" s="2">
        <v>0</v>
      </c>
      <c r="K26" s="9" t="e">
        <f t="shared" si="2"/>
        <v>#DIV/0!</v>
      </c>
      <c r="L26" s="12" t="e">
        <f t="shared" si="3"/>
        <v>#DIV/0!</v>
      </c>
      <c r="M26" s="2">
        <v>0</v>
      </c>
      <c r="N26" s="2">
        <v>0</v>
      </c>
      <c r="O26" s="25" t="e">
        <f t="shared" si="4"/>
        <v>#DIV/0!</v>
      </c>
    </row>
    <row r="27" spans="1:15" x14ac:dyDescent="0.25">
      <c r="A27" s="1" t="s">
        <v>326</v>
      </c>
      <c r="B27" s="2">
        <v>0</v>
      </c>
      <c r="C27" s="2">
        <v>0</v>
      </c>
      <c r="D27" s="14">
        <v>0</v>
      </c>
      <c r="E27" s="2">
        <v>0</v>
      </c>
      <c r="F27" s="2">
        <v>0</v>
      </c>
      <c r="G27" s="3" t="e">
        <f t="shared" si="0"/>
        <v>#DIV/0!</v>
      </c>
      <c r="H27" s="12" t="e">
        <f t="shared" si="1"/>
        <v>#DIV/0!</v>
      </c>
      <c r="I27" s="2">
        <v>0</v>
      </c>
      <c r="J27" s="2">
        <v>0</v>
      </c>
      <c r="K27" s="9" t="e">
        <f t="shared" si="2"/>
        <v>#DIV/0!</v>
      </c>
      <c r="L27" s="12" t="e">
        <f t="shared" si="3"/>
        <v>#DIV/0!</v>
      </c>
      <c r="M27" s="2">
        <v>0</v>
      </c>
      <c r="N27" s="2">
        <v>0</v>
      </c>
      <c r="O27" s="25" t="e">
        <f t="shared" si="4"/>
        <v>#DIV/0!</v>
      </c>
    </row>
    <row r="28" spans="1:15" x14ac:dyDescent="0.25">
      <c r="A28" s="1" t="s">
        <v>327</v>
      </c>
      <c r="B28" s="2">
        <v>0</v>
      </c>
      <c r="C28" s="2">
        <v>0</v>
      </c>
      <c r="D28" s="14">
        <v>0</v>
      </c>
      <c r="E28" s="2">
        <v>0</v>
      </c>
      <c r="F28" s="2">
        <v>0</v>
      </c>
      <c r="G28" s="3" t="e">
        <f t="shared" si="0"/>
        <v>#DIV/0!</v>
      </c>
      <c r="H28" s="12" t="e">
        <f t="shared" si="1"/>
        <v>#DIV/0!</v>
      </c>
      <c r="I28" s="2">
        <v>0</v>
      </c>
      <c r="J28" s="2">
        <v>0</v>
      </c>
      <c r="K28" s="9" t="e">
        <f t="shared" si="2"/>
        <v>#DIV/0!</v>
      </c>
      <c r="L28" s="12" t="e">
        <f t="shared" si="3"/>
        <v>#DIV/0!</v>
      </c>
      <c r="M28" s="2">
        <v>0</v>
      </c>
      <c r="N28" s="2">
        <v>0</v>
      </c>
      <c r="O28" s="25" t="e">
        <f t="shared" si="4"/>
        <v>#DIV/0!</v>
      </c>
    </row>
    <row r="29" spans="1:15" x14ac:dyDescent="0.25">
      <c r="A29" s="1" t="s">
        <v>328</v>
      </c>
      <c r="B29" s="2">
        <v>0</v>
      </c>
      <c r="C29" s="2">
        <v>0</v>
      </c>
      <c r="D29" s="14">
        <v>0</v>
      </c>
      <c r="E29" s="2">
        <v>0</v>
      </c>
      <c r="F29" s="2">
        <v>0</v>
      </c>
      <c r="G29" s="3" t="e">
        <f t="shared" si="0"/>
        <v>#DIV/0!</v>
      </c>
      <c r="H29" s="12" t="e">
        <f t="shared" si="1"/>
        <v>#DIV/0!</v>
      </c>
      <c r="I29" s="2">
        <v>0</v>
      </c>
      <c r="J29" s="2">
        <v>0</v>
      </c>
      <c r="K29" s="9" t="e">
        <f t="shared" si="2"/>
        <v>#DIV/0!</v>
      </c>
      <c r="L29" s="12" t="e">
        <f t="shared" si="3"/>
        <v>#DIV/0!</v>
      </c>
      <c r="M29" s="2">
        <v>0</v>
      </c>
      <c r="N29" s="2">
        <v>0</v>
      </c>
      <c r="O29" s="25" t="e">
        <f t="shared" si="4"/>
        <v>#DIV/0!</v>
      </c>
    </row>
    <row r="30" spans="1:15" hidden="1" x14ac:dyDescent="0.25">
      <c r="A30" s="1" t="s">
        <v>329</v>
      </c>
      <c r="B30" s="2">
        <v>0</v>
      </c>
      <c r="C30" s="2">
        <v>0</v>
      </c>
      <c r="D30" s="14">
        <v>0</v>
      </c>
      <c r="E30" s="2">
        <v>0</v>
      </c>
      <c r="F30" s="2">
        <v>0</v>
      </c>
      <c r="G30" s="3" t="e">
        <f t="shared" si="0"/>
        <v>#DIV/0!</v>
      </c>
      <c r="H30" s="12" t="e">
        <f t="shared" si="1"/>
        <v>#DIV/0!</v>
      </c>
      <c r="I30" s="2">
        <v>0</v>
      </c>
      <c r="J30" s="2">
        <v>0</v>
      </c>
      <c r="K30" s="9" t="e">
        <f t="shared" si="2"/>
        <v>#DIV/0!</v>
      </c>
      <c r="L30" s="12" t="e">
        <f t="shared" si="3"/>
        <v>#DIV/0!</v>
      </c>
      <c r="M30" s="2">
        <v>0</v>
      </c>
      <c r="N30" s="2">
        <v>0</v>
      </c>
      <c r="O30" s="25" t="e">
        <f t="shared" si="4"/>
        <v>#DIV/0!</v>
      </c>
    </row>
    <row r="31" spans="1:15" x14ac:dyDescent="0.25">
      <c r="A31" s="1" t="s">
        <v>330</v>
      </c>
      <c r="B31" s="2">
        <v>0</v>
      </c>
      <c r="C31" s="2">
        <v>0</v>
      </c>
      <c r="D31" s="14">
        <v>0</v>
      </c>
      <c r="E31" s="2">
        <v>0</v>
      </c>
      <c r="F31" s="2">
        <v>0</v>
      </c>
      <c r="G31" s="3" t="e">
        <f t="shared" si="0"/>
        <v>#DIV/0!</v>
      </c>
      <c r="H31" s="12" t="e">
        <f t="shared" si="1"/>
        <v>#DIV/0!</v>
      </c>
      <c r="I31" s="2">
        <v>0</v>
      </c>
      <c r="J31" s="2">
        <v>0</v>
      </c>
      <c r="K31" s="9" t="e">
        <f t="shared" si="2"/>
        <v>#DIV/0!</v>
      </c>
      <c r="L31" s="12" t="e">
        <f t="shared" si="3"/>
        <v>#DIV/0!</v>
      </c>
      <c r="M31" s="2">
        <v>0</v>
      </c>
      <c r="N31" s="2">
        <v>0</v>
      </c>
      <c r="O31" s="25" t="e">
        <f t="shared" si="4"/>
        <v>#DIV/0!</v>
      </c>
    </row>
    <row r="32" spans="1:15" hidden="1" x14ac:dyDescent="0.25">
      <c r="A32" s="1" t="s">
        <v>331</v>
      </c>
      <c r="B32" s="2">
        <v>0</v>
      </c>
      <c r="C32" s="2">
        <v>0</v>
      </c>
      <c r="D32" s="14">
        <v>0</v>
      </c>
      <c r="E32" s="2">
        <v>0</v>
      </c>
      <c r="F32" s="2">
        <v>0</v>
      </c>
      <c r="G32" s="3" t="e">
        <f t="shared" si="0"/>
        <v>#DIV/0!</v>
      </c>
      <c r="H32" s="12" t="e">
        <f t="shared" si="1"/>
        <v>#DIV/0!</v>
      </c>
      <c r="I32" s="2">
        <v>0</v>
      </c>
      <c r="J32" s="2">
        <v>0</v>
      </c>
      <c r="K32" s="9" t="e">
        <f t="shared" si="2"/>
        <v>#DIV/0!</v>
      </c>
      <c r="L32" s="12" t="e">
        <f t="shared" si="3"/>
        <v>#DIV/0!</v>
      </c>
      <c r="M32" s="2">
        <v>0</v>
      </c>
      <c r="N32" s="2">
        <v>0</v>
      </c>
      <c r="O32" s="25" t="e">
        <f t="shared" si="4"/>
        <v>#DIV/0!</v>
      </c>
    </row>
    <row r="33" spans="1:15" hidden="1" x14ac:dyDescent="0.25">
      <c r="A33" s="1" t="s">
        <v>332</v>
      </c>
      <c r="B33" s="2">
        <v>0</v>
      </c>
      <c r="C33" s="2">
        <v>0</v>
      </c>
      <c r="D33" s="14">
        <v>0</v>
      </c>
      <c r="E33" s="2">
        <v>0</v>
      </c>
      <c r="F33" s="2">
        <v>0</v>
      </c>
      <c r="G33" s="3" t="e">
        <f t="shared" si="0"/>
        <v>#DIV/0!</v>
      </c>
      <c r="H33" s="12" t="e">
        <f t="shared" si="1"/>
        <v>#DIV/0!</v>
      </c>
      <c r="I33" s="2">
        <v>0</v>
      </c>
      <c r="J33" s="2">
        <v>0</v>
      </c>
      <c r="K33" s="9" t="e">
        <f t="shared" si="2"/>
        <v>#DIV/0!</v>
      </c>
      <c r="L33" s="12" t="e">
        <f t="shared" si="3"/>
        <v>#DIV/0!</v>
      </c>
      <c r="M33" s="2">
        <v>0</v>
      </c>
      <c r="N33" s="2">
        <v>0</v>
      </c>
      <c r="O33" s="25" t="e">
        <f t="shared" si="4"/>
        <v>#DIV/0!</v>
      </c>
    </row>
    <row r="34" spans="1:15" x14ac:dyDescent="0.25">
      <c r="A34" s="1" t="s">
        <v>333</v>
      </c>
      <c r="B34" s="2">
        <v>0</v>
      </c>
      <c r="C34" s="2">
        <v>0</v>
      </c>
      <c r="D34" s="14">
        <v>0</v>
      </c>
      <c r="E34" s="2">
        <v>0</v>
      </c>
      <c r="F34" s="2">
        <v>0</v>
      </c>
      <c r="G34" s="3" t="e">
        <f t="shared" si="0"/>
        <v>#DIV/0!</v>
      </c>
      <c r="H34" s="12" t="e">
        <f t="shared" si="1"/>
        <v>#DIV/0!</v>
      </c>
      <c r="I34" s="2">
        <v>0</v>
      </c>
      <c r="J34" s="2">
        <v>0</v>
      </c>
      <c r="K34" s="9" t="e">
        <f t="shared" si="2"/>
        <v>#DIV/0!</v>
      </c>
      <c r="L34" s="12" t="e">
        <f t="shared" si="3"/>
        <v>#DIV/0!</v>
      </c>
      <c r="M34" s="2">
        <v>0</v>
      </c>
      <c r="N34" s="2">
        <v>0</v>
      </c>
      <c r="O34" s="25" t="e">
        <f t="shared" si="4"/>
        <v>#DIV/0!</v>
      </c>
    </row>
    <row r="35" spans="1:15" hidden="1" x14ac:dyDescent="0.25">
      <c r="A35" s="1" t="s">
        <v>631</v>
      </c>
      <c r="B35" s="2">
        <v>0</v>
      </c>
      <c r="C35" s="2">
        <v>0</v>
      </c>
      <c r="D35" s="14">
        <v>0</v>
      </c>
      <c r="E35" s="2">
        <v>0</v>
      </c>
      <c r="F35" s="2">
        <v>0</v>
      </c>
      <c r="G35" s="3" t="e">
        <f t="shared" si="0"/>
        <v>#DIV/0!</v>
      </c>
      <c r="H35" s="12" t="e">
        <f t="shared" si="1"/>
        <v>#DIV/0!</v>
      </c>
      <c r="I35" s="2">
        <v>0</v>
      </c>
      <c r="J35" s="2">
        <v>0</v>
      </c>
      <c r="K35" s="9" t="e">
        <f t="shared" si="2"/>
        <v>#DIV/0!</v>
      </c>
      <c r="L35" s="12" t="e">
        <f t="shared" si="3"/>
        <v>#DIV/0!</v>
      </c>
      <c r="M35" s="2">
        <v>0</v>
      </c>
      <c r="N35" s="2">
        <v>0</v>
      </c>
      <c r="O35" s="25" t="e">
        <f t="shared" si="4"/>
        <v>#DIV/0!</v>
      </c>
    </row>
    <row r="36" spans="1:15" hidden="1" x14ac:dyDescent="0.25">
      <c r="A36" s="1" t="s">
        <v>632</v>
      </c>
      <c r="B36" s="2">
        <v>0</v>
      </c>
      <c r="C36" s="2">
        <v>0</v>
      </c>
      <c r="D36" s="14">
        <v>0</v>
      </c>
      <c r="E36" s="2">
        <v>0</v>
      </c>
      <c r="F36" s="2">
        <v>0</v>
      </c>
      <c r="G36" s="3" t="e">
        <f t="shared" si="0"/>
        <v>#DIV/0!</v>
      </c>
      <c r="H36" s="12" t="e">
        <f t="shared" si="1"/>
        <v>#DIV/0!</v>
      </c>
      <c r="I36" s="2">
        <v>0</v>
      </c>
      <c r="J36" s="2">
        <v>0</v>
      </c>
      <c r="K36" s="9" t="e">
        <f t="shared" si="2"/>
        <v>#DIV/0!</v>
      </c>
      <c r="L36" s="12" t="e">
        <f t="shared" si="3"/>
        <v>#DIV/0!</v>
      </c>
      <c r="M36" s="2">
        <v>0</v>
      </c>
      <c r="N36" s="2">
        <v>0</v>
      </c>
      <c r="O36" s="25" t="e">
        <f t="shared" si="4"/>
        <v>#DIV/0!</v>
      </c>
    </row>
    <row r="37" spans="1:15" hidden="1" x14ac:dyDescent="0.25">
      <c r="A37" s="1" t="s">
        <v>633</v>
      </c>
      <c r="B37" s="2">
        <v>0</v>
      </c>
      <c r="C37" s="2">
        <v>0</v>
      </c>
      <c r="D37" s="14">
        <v>0</v>
      </c>
      <c r="E37" s="2">
        <v>0</v>
      </c>
      <c r="F37" s="2">
        <v>0</v>
      </c>
      <c r="G37" s="3" t="e">
        <f t="shared" si="0"/>
        <v>#DIV/0!</v>
      </c>
      <c r="H37" s="12" t="e">
        <f t="shared" si="1"/>
        <v>#DIV/0!</v>
      </c>
      <c r="I37" s="2">
        <v>0</v>
      </c>
      <c r="J37" s="2">
        <v>0</v>
      </c>
      <c r="K37" s="9" t="e">
        <f t="shared" si="2"/>
        <v>#DIV/0!</v>
      </c>
      <c r="L37" s="12" t="e">
        <f t="shared" si="3"/>
        <v>#DIV/0!</v>
      </c>
      <c r="M37" s="2">
        <v>0</v>
      </c>
      <c r="N37" s="2">
        <v>0</v>
      </c>
      <c r="O37" s="25" t="e">
        <f t="shared" si="4"/>
        <v>#DIV/0!</v>
      </c>
    </row>
    <row r="38" spans="1:15" hidden="1" x14ac:dyDescent="0.25">
      <c r="A38" s="1" t="s">
        <v>634</v>
      </c>
      <c r="B38" s="2">
        <v>0</v>
      </c>
      <c r="C38" s="2">
        <v>0</v>
      </c>
      <c r="D38" s="14">
        <v>0</v>
      </c>
      <c r="E38" s="2">
        <v>0</v>
      </c>
      <c r="F38" s="2">
        <v>0</v>
      </c>
      <c r="G38" s="3" t="e">
        <f t="shared" si="0"/>
        <v>#DIV/0!</v>
      </c>
      <c r="H38" s="12" t="e">
        <f t="shared" si="1"/>
        <v>#DIV/0!</v>
      </c>
      <c r="I38" s="2">
        <v>0</v>
      </c>
      <c r="J38" s="2">
        <v>0</v>
      </c>
      <c r="K38" s="9" t="e">
        <f t="shared" si="2"/>
        <v>#DIV/0!</v>
      </c>
      <c r="L38" s="12" t="e">
        <f t="shared" si="3"/>
        <v>#DIV/0!</v>
      </c>
      <c r="M38" s="2">
        <v>0</v>
      </c>
      <c r="N38" s="2">
        <v>0</v>
      </c>
      <c r="O38" s="25" t="e">
        <f t="shared" si="4"/>
        <v>#DIV/0!</v>
      </c>
    </row>
    <row r="39" spans="1:15" hidden="1" x14ac:dyDescent="0.25">
      <c r="A39" s="1" t="s">
        <v>635</v>
      </c>
      <c r="B39" s="2">
        <v>0</v>
      </c>
      <c r="C39" s="2">
        <v>0</v>
      </c>
      <c r="D39" s="14">
        <v>0</v>
      </c>
      <c r="E39" s="2">
        <v>0</v>
      </c>
      <c r="F39" s="2">
        <v>0</v>
      </c>
      <c r="G39" s="3" t="e">
        <f t="shared" si="0"/>
        <v>#DIV/0!</v>
      </c>
      <c r="H39" s="12" t="e">
        <f t="shared" si="1"/>
        <v>#DIV/0!</v>
      </c>
      <c r="I39" s="2">
        <v>0</v>
      </c>
      <c r="J39" s="2">
        <v>0</v>
      </c>
      <c r="K39" s="9" t="e">
        <f t="shared" si="2"/>
        <v>#DIV/0!</v>
      </c>
      <c r="L39" s="12" t="e">
        <f t="shared" si="3"/>
        <v>#DIV/0!</v>
      </c>
      <c r="M39" s="2">
        <v>0</v>
      </c>
      <c r="N39" s="2">
        <v>0</v>
      </c>
      <c r="O39" s="25" t="e">
        <f t="shared" si="4"/>
        <v>#DIV/0!</v>
      </c>
    </row>
    <row r="40" spans="1:15" x14ac:dyDescent="0.25">
      <c r="A40" s="1" t="s">
        <v>636</v>
      </c>
      <c r="B40" s="2">
        <v>0</v>
      </c>
      <c r="C40" s="2">
        <v>0</v>
      </c>
      <c r="D40" s="14">
        <v>0</v>
      </c>
      <c r="E40" s="2">
        <v>0</v>
      </c>
      <c r="F40" s="2">
        <v>0</v>
      </c>
      <c r="G40" s="3" t="e">
        <f t="shared" si="0"/>
        <v>#DIV/0!</v>
      </c>
      <c r="H40" s="12" t="e">
        <f t="shared" si="1"/>
        <v>#DIV/0!</v>
      </c>
      <c r="I40" s="2">
        <v>0</v>
      </c>
      <c r="J40" s="2">
        <v>0</v>
      </c>
      <c r="K40" s="9" t="e">
        <f t="shared" si="2"/>
        <v>#DIV/0!</v>
      </c>
      <c r="L40" s="12" t="e">
        <f t="shared" si="3"/>
        <v>#DIV/0!</v>
      </c>
      <c r="M40" s="2">
        <v>0</v>
      </c>
      <c r="N40" s="2">
        <v>0</v>
      </c>
      <c r="O40" s="25" t="e">
        <f t="shared" si="4"/>
        <v>#DIV/0!</v>
      </c>
    </row>
    <row r="41" spans="1:15" hidden="1" x14ac:dyDescent="0.25">
      <c r="A41" s="1" t="s">
        <v>637</v>
      </c>
      <c r="B41" s="2">
        <v>0</v>
      </c>
      <c r="C41" s="2">
        <v>0</v>
      </c>
      <c r="D41" s="14">
        <v>0</v>
      </c>
      <c r="E41" s="2">
        <v>0</v>
      </c>
      <c r="F41" s="2">
        <v>0</v>
      </c>
      <c r="G41" s="3" t="e">
        <f t="shared" si="0"/>
        <v>#DIV/0!</v>
      </c>
      <c r="H41" s="12" t="e">
        <f t="shared" si="1"/>
        <v>#DIV/0!</v>
      </c>
      <c r="I41" s="2">
        <v>0</v>
      </c>
      <c r="J41" s="2">
        <v>0</v>
      </c>
      <c r="K41" s="9" t="e">
        <f t="shared" si="2"/>
        <v>#DIV/0!</v>
      </c>
      <c r="L41" s="12" t="e">
        <f t="shared" si="3"/>
        <v>#DIV/0!</v>
      </c>
      <c r="M41" s="2">
        <v>0</v>
      </c>
      <c r="N41" s="2">
        <v>0</v>
      </c>
      <c r="O41" s="25" t="e">
        <f t="shared" si="4"/>
        <v>#DIV/0!</v>
      </c>
    </row>
    <row r="42" spans="1:15" hidden="1" x14ac:dyDescent="0.25">
      <c r="A42" s="1" t="s">
        <v>638</v>
      </c>
      <c r="B42" s="2">
        <v>0</v>
      </c>
      <c r="C42" s="2">
        <v>0</v>
      </c>
      <c r="D42" s="14">
        <v>0</v>
      </c>
      <c r="E42" s="2">
        <v>0</v>
      </c>
      <c r="F42" s="2">
        <v>0</v>
      </c>
      <c r="G42" s="3" t="e">
        <f t="shared" si="0"/>
        <v>#DIV/0!</v>
      </c>
      <c r="H42" s="12" t="e">
        <f t="shared" si="1"/>
        <v>#DIV/0!</v>
      </c>
      <c r="I42" s="2">
        <v>0</v>
      </c>
      <c r="J42" s="2">
        <v>0</v>
      </c>
      <c r="K42" s="9" t="e">
        <f t="shared" si="2"/>
        <v>#DIV/0!</v>
      </c>
      <c r="L42" s="12" t="e">
        <f t="shared" si="3"/>
        <v>#DIV/0!</v>
      </c>
      <c r="M42" s="2">
        <v>0</v>
      </c>
      <c r="N42" s="2">
        <v>0</v>
      </c>
      <c r="O42" s="25" t="e">
        <f t="shared" si="4"/>
        <v>#DIV/0!</v>
      </c>
    </row>
    <row r="43" spans="1:15" x14ac:dyDescent="0.25">
      <c r="A43" s="1" t="s">
        <v>639</v>
      </c>
      <c r="B43" s="2">
        <v>0</v>
      </c>
      <c r="C43" s="2">
        <v>0</v>
      </c>
      <c r="D43" s="14">
        <v>0</v>
      </c>
      <c r="E43" s="2">
        <v>0</v>
      </c>
      <c r="F43" s="2">
        <v>0</v>
      </c>
      <c r="G43" s="3" t="e">
        <f t="shared" si="0"/>
        <v>#DIV/0!</v>
      </c>
      <c r="H43" s="12" t="e">
        <f t="shared" si="1"/>
        <v>#DIV/0!</v>
      </c>
      <c r="I43" s="2">
        <v>0</v>
      </c>
      <c r="J43" s="2">
        <v>0</v>
      </c>
      <c r="K43" s="9" t="e">
        <f t="shared" si="2"/>
        <v>#DIV/0!</v>
      </c>
      <c r="L43" s="12" t="e">
        <f t="shared" si="3"/>
        <v>#DIV/0!</v>
      </c>
      <c r="M43" s="2">
        <v>0</v>
      </c>
      <c r="N43" s="2">
        <v>0</v>
      </c>
      <c r="O43" s="25" t="e">
        <f t="shared" si="4"/>
        <v>#DIV/0!</v>
      </c>
    </row>
    <row r="44" spans="1:15" hidden="1" x14ac:dyDescent="0.25">
      <c r="A44" s="1" t="s">
        <v>640</v>
      </c>
      <c r="B44" s="2">
        <v>0</v>
      </c>
      <c r="C44" s="2">
        <v>0</v>
      </c>
      <c r="D44" s="14">
        <v>0</v>
      </c>
      <c r="E44" s="2">
        <v>0</v>
      </c>
      <c r="F44" s="2">
        <v>0</v>
      </c>
      <c r="G44" s="3" t="e">
        <f t="shared" si="0"/>
        <v>#DIV/0!</v>
      </c>
      <c r="H44" s="12" t="e">
        <f t="shared" si="1"/>
        <v>#DIV/0!</v>
      </c>
      <c r="I44" s="2">
        <v>0</v>
      </c>
      <c r="J44" s="2">
        <v>0</v>
      </c>
      <c r="K44" s="9" t="e">
        <f t="shared" si="2"/>
        <v>#DIV/0!</v>
      </c>
      <c r="L44" s="12" t="e">
        <f t="shared" si="3"/>
        <v>#DIV/0!</v>
      </c>
      <c r="M44" s="2">
        <v>0</v>
      </c>
      <c r="N44" s="2">
        <v>0</v>
      </c>
      <c r="O44" s="25" t="e">
        <f t="shared" si="4"/>
        <v>#DIV/0!</v>
      </c>
    </row>
    <row r="45" spans="1:15" hidden="1" x14ac:dyDescent="0.25">
      <c r="A45" s="1" t="s">
        <v>641</v>
      </c>
      <c r="B45" s="2">
        <v>0</v>
      </c>
      <c r="C45" s="2">
        <v>0</v>
      </c>
      <c r="D45" s="14">
        <v>0</v>
      </c>
      <c r="E45" s="2">
        <v>0</v>
      </c>
      <c r="F45" s="2">
        <v>0</v>
      </c>
      <c r="G45" s="3" t="e">
        <f t="shared" si="0"/>
        <v>#DIV/0!</v>
      </c>
      <c r="H45" s="12" t="e">
        <f t="shared" si="1"/>
        <v>#DIV/0!</v>
      </c>
      <c r="I45" s="2">
        <v>0</v>
      </c>
      <c r="J45" s="2">
        <v>0</v>
      </c>
      <c r="K45" s="9" t="e">
        <f t="shared" si="2"/>
        <v>#DIV/0!</v>
      </c>
      <c r="L45" s="12" t="e">
        <f t="shared" si="3"/>
        <v>#DIV/0!</v>
      </c>
      <c r="M45" s="2">
        <v>0</v>
      </c>
      <c r="N45" s="2">
        <v>0</v>
      </c>
      <c r="O45" s="25" t="e">
        <f t="shared" si="4"/>
        <v>#DIV/0!</v>
      </c>
    </row>
    <row r="46" spans="1:15" x14ac:dyDescent="0.25">
      <c r="A46" s="1" t="s">
        <v>642</v>
      </c>
      <c r="B46" s="2">
        <v>0</v>
      </c>
      <c r="C46" s="2">
        <v>0</v>
      </c>
      <c r="D46" s="14">
        <v>0</v>
      </c>
      <c r="E46" s="2">
        <v>0</v>
      </c>
      <c r="F46" s="2">
        <v>0</v>
      </c>
      <c r="G46" s="3" t="e">
        <f t="shared" si="0"/>
        <v>#DIV/0!</v>
      </c>
      <c r="H46" s="12" t="e">
        <f t="shared" si="1"/>
        <v>#DIV/0!</v>
      </c>
      <c r="I46" s="2">
        <v>0</v>
      </c>
      <c r="J46" s="2">
        <v>0</v>
      </c>
      <c r="K46" s="9" t="e">
        <f t="shared" si="2"/>
        <v>#DIV/0!</v>
      </c>
      <c r="L46" s="12" t="e">
        <f t="shared" si="3"/>
        <v>#DIV/0!</v>
      </c>
      <c r="M46" s="2">
        <v>0</v>
      </c>
      <c r="N46" s="2">
        <v>0</v>
      </c>
      <c r="O46" s="25" t="e">
        <f t="shared" si="4"/>
        <v>#DIV/0!</v>
      </c>
    </row>
    <row r="47" spans="1:15" hidden="1" x14ac:dyDescent="0.25">
      <c r="A47" s="1" t="s">
        <v>643</v>
      </c>
      <c r="B47" s="2">
        <v>0</v>
      </c>
      <c r="C47" s="2">
        <v>0</v>
      </c>
      <c r="D47" s="14">
        <v>0</v>
      </c>
      <c r="E47" s="2">
        <v>0</v>
      </c>
      <c r="F47" s="2">
        <v>0</v>
      </c>
      <c r="G47" s="3" t="e">
        <f t="shared" si="0"/>
        <v>#DIV/0!</v>
      </c>
      <c r="H47" s="12" t="e">
        <f t="shared" si="1"/>
        <v>#DIV/0!</v>
      </c>
      <c r="I47" s="2">
        <v>0</v>
      </c>
      <c r="J47" s="2">
        <v>0</v>
      </c>
      <c r="K47" s="9" t="e">
        <f t="shared" si="2"/>
        <v>#DIV/0!</v>
      </c>
      <c r="L47" s="12" t="e">
        <f t="shared" si="3"/>
        <v>#DIV/0!</v>
      </c>
      <c r="M47" s="2">
        <v>0</v>
      </c>
      <c r="N47" s="2">
        <v>0</v>
      </c>
      <c r="O47" s="25" t="e">
        <f t="shared" si="4"/>
        <v>#DIV/0!</v>
      </c>
    </row>
    <row r="48" spans="1:15" hidden="1" x14ac:dyDescent="0.25">
      <c r="A48" s="1" t="s">
        <v>644</v>
      </c>
      <c r="B48" s="2">
        <v>0</v>
      </c>
      <c r="C48" s="2">
        <v>0</v>
      </c>
      <c r="D48" s="14">
        <v>0</v>
      </c>
      <c r="E48" s="2">
        <v>0</v>
      </c>
      <c r="F48" s="2">
        <v>0</v>
      </c>
      <c r="G48" s="3" t="e">
        <f t="shared" si="0"/>
        <v>#DIV/0!</v>
      </c>
      <c r="H48" s="12" t="e">
        <f t="shared" si="1"/>
        <v>#DIV/0!</v>
      </c>
      <c r="I48" s="2">
        <v>0</v>
      </c>
      <c r="J48" s="2">
        <v>0</v>
      </c>
      <c r="K48" s="9" t="e">
        <f t="shared" si="2"/>
        <v>#DIV/0!</v>
      </c>
      <c r="L48" s="12" t="e">
        <f t="shared" si="3"/>
        <v>#DIV/0!</v>
      </c>
      <c r="M48" s="2">
        <v>0</v>
      </c>
      <c r="N48" s="2">
        <v>0</v>
      </c>
      <c r="O48" s="25" t="e">
        <f t="shared" si="4"/>
        <v>#DIV/0!</v>
      </c>
    </row>
    <row r="49" spans="1:16" hidden="1" x14ac:dyDescent="0.25">
      <c r="A49" s="1" t="s">
        <v>645</v>
      </c>
      <c r="B49" s="2">
        <v>0</v>
      </c>
      <c r="C49" s="2">
        <v>0</v>
      </c>
      <c r="D49" s="14">
        <v>0</v>
      </c>
      <c r="E49" s="2">
        <v>0</v>
      </c>
      <c r="F49" s="2">
        <v>0</v>
      </c>
      <c r="G49" s="3" t="e">
        <f t="shared" si="0"/>
        <v>#DIV/0!</v>
      </c>
      <c r="H49" s="12" t="e">
        <f t="shared" si="1"/>
        <v>#DIV/0!</v>
      </c>
      <c r="I49" s="2">
        <v>0</v>
      </c>
      <c r="J49" s="2">
        <v>0</v>
      </c>
      <c r="K49" s="9" t="e">
        <f t="shared" si="2"/>
        <v>#DIV/0!</v>
      </c>
      <c r="L49" s="12" t="e">
        <f t="shared" si="3"/>
        <v>#DIV/0!</v>
      </c>
      <c r="M49" s="2">
        <v>0</v>
      </c>
      <c r="N49" s="2">
        <v>0</v>
      </c>
      <c r="O49" s="25" t="e">
        <f t="shared" si="4"/>
        <v>#DIV/0!</v>
      </c>
    </row>
    <row r="50" spans="1:16" hidden="1" x14ac:dyDescent="0.25">
      <c r="A50" s="1" t="s">
        <v>646</v>
      </c>
      <c r="B50" s="2">
        <v>0</v>
      </c>
      <c r="C50" s="2">
        <v>0</v>
      </c>
      <c r="D50" s="14">
        <v>0</v>
      </c>
      <c r="E50" s="2">
        <v>0</v>
      </c>
      <c r="F50" s="2">
        <v>0</v>
      </c>
      <c r="G50" s="3" t="e">
        <f t="shared" si="0"/>
        <v>#DIV/0!</v>
      </c>
      <c r="H50" s="12" t="e">
        <f t="shared" si="1"/>
        <v>#DIV/0!</v>
      </c>
      <c r="I50" s="2">
        <v>0</v>
      </c>
      <c r="J50" s="2">
        <v>0</v>
      </c>
      <c r="K50" s="9" t="e">
        <f t="shared" si="2"/>
        <v>#DIV/0!</v>
      </c>
      <c r="L50" s="12" t="e">
        <f t="shared" si="3"/>
        <v>#DIV/0!</v>
      </c>
      <c r="M50" s="2">
        <v>0</v>
      </c>
      <c r="N50" s="2">
        <v>0</v>
      </c>
      <c r="O50" s="25" t="e">
        <f t="shared" si="4"/>
        <v>#DIV/0!</v>
      </c>
    </row>
    <row r="51" spans="1:16" hidden="1" x14ac:dyDescent="0.25">
      <c r="A51" s="1" t="s">
        <v>647</v>
      </c>
      <c r="B51" s="2">
        <v>0</v>
      </c>
      <c r="C51" s="2">
        <v>0</v>
      </c>
      <c r="D51" s="14">
        <v>0</v>
      </c>
      <c r="E51" s="2">
        <v>0</v>
      </c>
      <c r="F51" s="2">
        <v>0</v>
      </c>
      <c r="G51" s="3" t="e">
        <f t="shared" si="0"/>
        <v>#DIV/0!</v>
      </c>
      <c r="H51" s="12" t="e">
        <f t="shared" si="1"/>
        <v>#DIV/0!</v>
      </c>
      <c r="I51" s="2">
        <v>0</v>
      </c>
      <c r="J51" s="2">
        <v>0</v>
      </c>
      <c r="K51" s="9" t="e">
        <f t="shared" si="2"/>
        <v>#DIV/0!</v>
      </c>
      <c r="L51" s="12" t="e">
        <f t="shared" si="3"/>
        <v>#DIV/0!</v>
      </c>
      <c r="M51" s="2">
        <v>0</v>
      </c>
      <c r="N51" s="2">
        <v>0</v>
      </c>
      <c r="O51" s="25" t="e">
        <f t="shared" si="4"/>
        <v>#DIV/0!</v>
      </c>
    </row>
    <row r="52" spans="1:16" x14ac:dyDescent="0.25">
      <c r="A52" s="1" t="s">
        <v>648</v>
      </c>
      <c r="B52" s="2">
        <v>0</v>
      </c>
      <c r="C52" s="2">
        <v>0</v>
      </c>
      <c r="D52" s="14">
        <v>0</v>
      </c>
      <c r="E52" s="2">
        <v>0</v>
      </c>
      <c r="F52" s="2">
        <v>0</v>
      </c>
      <c r="G52" s="3" t="e">
        <f t="shared" si="0"/>
        <v>#DIV/0!</v>
      </c>
      <c r="H52" s="12" t="e">
        <f t="shared" si="1"/>
        <v>#DIV/0!</v>
      </c>
      <c r="I52" s="2">
        <v>0</v>
      </c>
      <c r="J52" s="2">
        <v>0</v>
      </c>
      <c r="K52" s="9" t="e">
        <f t="shared" si="2"/>
        <v>#DIV/0!</v>
      </c>
      <c r="L52" s="12" t="e">
        <f t="shared" si="3"/>
        <v>#DIV/0!</v>
      </c>
      <c r="M52" s="2">
        <v>0</v>
      </c>
      <c r="N52" s="2">
        <v>0</v>
      </c>
      <c r="O52" s="25" t="e">
        <f t="shared" si="4"/>
        <v>#DIV/0!</v>
      </c>
    </row>
    <row r="53" spans="1:16" x14ac:dyDescent="0.25">
      <c r="A53" s="1" t="s">
        <v>649</v>
      </c>
      <c r="B53" s="2">
        <v>0</v>
      </c>
      <c r="C53" s="2">
        <v>0</v>
      </c>
      <c r="D53" s="14">
        <v>0</v>
      </c>
      <c r="E53" s="2">
        <v>0</v>
      </c>
      <c r="F53" s="2">
        <v>0</v>
      </c>
      <c r="G53" s="3" t="e">
        <f t="shared" si="0"/>
        <v>#DIV/0!</v>
      </c>
      <c r="H53" s="12" t="e">
        <f t="shared" si="1"/>
        <v>#DIV/0!</v>
      </c>
      <c r="I53" s="2">
        <v>0</v>
      </c>
      <c r="J53" s="2">
        <v>0</v>
      </c>
      <c r="K53" s="9" t="e">
        <f t="shared" si="2"/>
        <v>#DIV/0!</v>
      </c>
      <c r="L53" s="12" t="e">
        <f t="shared" si="3"/>
        <v>#DIV/0!</v>
      </c>
      <c r="M53" s="2">
        <v>0</v>
      </c>
      <c r="N53" s="2">
        <v>0</v>
      </c>
      <c r="O53" s="25" t="e">
        <f t="shared" si="4"/>
        <v>#DIV/0!</v>
      </c>
    </row>
    <row r="54" spans="1:16" hidden="1" x14ac:dyDescent="0.25">
      <c r="A54" s="1" t="s">
        <v>650</v>
      </c>
      <c r="B54" s="2">
        <v>0</v>
      </c>
      <c r="C54" s="2">
        <v>0</v>
      </c>
      <c r="D54" s="14">
        <v>0</v>
      </c>
      <c r="E54" s="2">
        <v>0</v>
      </c>
      <c r="F54" s="2">
        <v>0</v>
      </c>
      <c r="G54" s="3" t="e">
        <f t="shared" si="0"/>
        <v>#DIV/0!</v>
      </c>
      <c r="H54" s="12" t="e">
        <f t="shared" si="1"/>
        <v>#DIV/0!</v>
      </c>
      <c r="I54" s="2">
        <v>0</v>
      </c>
      <c r="J54" s="2">
        <v>0</v>
      </c>
      <c r="K54" s="9" t="e">
        <f t="shared" si="2"/>
        <v>#DIV/0!</v>
      </c>
      <c r="L54" s="12" t="e">
        <f t="shared" si="3"/>
        <v>#DIV/0!</v>
      </c>
      <c r="M54" s="2">
        <v>0</v>
      </c>
      <c r="N54" s="2">
        <v>0</v>
      </c>
      <c r="O54" s="25" t="e">
        <f t="shared" si="4"/>
        <v>#DIV/0!</v>
      </c>
    </row>
    <row r="55" spans="1:16" x14ac:dyDescent="0.25">
      <c r="A55" s="1" t="s">
        <v>651</v>
      </c>
      <c r="B55" s="2">
        <v>0</v>
      </c>
      <c r="C55" s="2">
        <v>0</v>
      </c>
      <c r="D55" s="14">
        <v>0</v>
      </c>
      <c r="E55" s="2">
        <v>0</v>
      </c>
      <c r="F55" s="2">
        <v>0</v>
      </c>
      <c r="G55" s="3" t="e">
        <f t="shared" si="0"/>
        <v>#DIV/0!</v>
      </c>
      <c r="H55" s="12" t="e">
        <f t="shared" si="1"/>
        <v>#DIV/0!</v>
      </c>
      <c r="I55" s="2">
        <v>0</v>
      </c>
      <c r="J55" s="2">
        <v>0</v>
      </c>
      <c r="K55" s="9" t="e">
        <f t="shared" si="2"/>
        <v>#DIV/0!</v>
      </c>
      <c r="L55" s="12" t="e">
        <f t="shared" si="3"/>
        <v>#DIV/0!</v>
      </c>
      <c r="M55" s="2">
        <v>772292</v>
      </c>
      <c r="N55" s="2">
        <v>0</v>
      </c>
      <c r="O55" s="25">
        <f t="shared" si="4"/>
        <v>0</v>
      </c>
    </row>
    <row r="56" spans="1:16" hidden="1" x14ac:dyDescent="0.25">
      <c r="A56" s="1" t="s">
        <v>652</v>
      </c>
      <c r="B56" s="2">
        <v>0</v>
      </c>
      <c r="C56" s="2">
        <v>0</v>
      </c>
      <c r="D56" s="14">
        <v>0</v>
      </c>
      <c r="E56" s="2">
        <v>0</v>
      </c>
      <c r="F56" s="2">
        <v>0</v>
      </c>
      <c r="G56" s="3" t="e">
        <f t="shared" si="0"/>
        <v>#DIV/0!</v>
      </c>
      <c r="H56" s="12" t="e">
        <f t="shared" si="1"/>
        <v>#DIV/0!</v>
      </c>
      <c r="I56" s="2">
        <v>0</v>
      </c>
      <c r="J56" s="2">
        <v>0</v>
      </c>
      <c r="K56" s="9" t="e">
        <f t="shared" si="2"/>
        <v>#DIV/0!</v>
      </c>
      <c r="L56" s="12" t="e">
        <f t="shared" si="3"/>
        <v>#DIV/0!</v>
      </c>
    </row>
    <row r="57" spans="1:16" hidden="1" x14ac:dyDescent="0.25">
      <c r="A57" s="1" t="s">
        <v>653</v>
      </c>
      <c r="B57" s="2">
        <v>0</v>
      </c>
      <c r="C57" s="2">
        <v>0</v>
      </c>
      <c r="D57" s="14">
        <v>0</v>
      </c>
      <c r="E57" s="2">
        <v>0</v>
      </c>
      <c r="F57" s="2">
        <v>0</v>
      </c>
      <c r="G57" s="3" t="e">
        <f t="shared" si="0"/>
        <v>#DIV/0!</v>
      </c>
      <c r="H57" s="12" t="e">
        <f t="shared" si="1"/>
        <v>#DIV/0!</v>
      </c>
      <c r="I57" s="2">
        <v>0</v>
      </c>
      <c r="J57" s="2">
        <v>0</v>
      </c>
      <c r="K57" s="9" t="e">
        <f t="shared" si="2"/>
        <v>#DIV/0!</v>
      </c>
      <c r="L57" s="12" t="e">
        <f t="shared" si="3"/>
        <v>#DIV/0!</v>
      </c>
    </row>
    <row r="58" spans="1:16" hidden="1" x14ac:dyDescent="0.25">
      <c r="A58" s="4" t="s">
        <v>654</v>
      </c>
      <c r="B58" s="2">
        <v>0</v>
      </c>
      <c r="C58" s="2">
        <v>0</v>
      </c>
      <c r="D58" s="14">
        <v>0</v>
      </c>
      <c r="E58" s="2">
        <v>0</v>
      </c>
      <c r="F58" s="2">
        <v>0</v>
      </c>
      <c r="G58" s="3" t="e">
        <f t="shared" si="0"/>
        <v>#DIV/0!</v>
      </c>
      <c r="H58" s="12" t="e">
        <f t="shared" si="1"/>
        <v>#DIV/0!</v>
      </c>
      <c r="I58" s="2">
        <v>0</v>
      </c>
      <c r="J58" s="2">
        <v>0</v>
      </c>
      <c r="K58" s="9" t="e">
        <f t="shared" si="2"/>
        <v>#DIV/0!</v>
      </c>
      <c r="L58" s="12" t="e">
        <f t="shared" si="3"/>
        <v>#DIV/0!</v>
      </c>
    </row>
    <row r="59" spans="1:16" hidden="1" x14ac:dyDescent="0.25">
      <c r="A59" s="4" t="s">
        <v>655</v>
      </c>
      <c r="B59" s="2">
        <v>0</v>
      </c>
      <c r="C59" s="2">
        <v>0</v>
      </c>
      <c r="D59" s="14">
        <v>0</v>
      </c>
      <c r="E59" s="2">
        <v>0</v>
      </c>
      <c r="F59" s="2">
        <v>0</v>
      </c>
      <c r="G59" s="3" t="e">
        <f t="shared" si="0"/>
        <v>#DIV/0!</v>
      </c>
      <c r="H59" s="12" t="e">
        <f t="shared" si="1"/>
        <v>#DIV/0!</v>
      </c>
      <c r="I59" s="2">
        <v>0</v>
      </c>
      <c r="J59" s="2">
        <v>0</v>
      </c>
      <c r="K59" s="9" t="e">
        <f t="shared" si="2"/>
        <v>#DIV/0!</v>
      </c>
      <c r="L59" s="12" t="e">
        <f t="shared" si="3"/>
        <v>#DIV/0!</v>
      </c>
    </row>
    <row r="60" spans="1:16" x14ac:dyDescent="0.25">
      <c r="A60" s="1" t="s">
        <v>488</v>
      </c>
      <c r="I60" s="2"/>
      <c r="J60" s="2"/>
      <c r="N60" s="2">
        <v>1000000</v>
      </c>
    </row>
    <row r="61" spans="1:16" x14ac:dyDescent="0.25">
      <c r="A61" s="1" t="s">
        <v>132</v>
      </c>
      <c r="B61" s="18">
        <f>SUM(B3:B59)</f>
        <v>0</v>
      </c>
      <c r="C61" s="18">
        <f>SUM(C3:C59)</f>
        <v>0</v>
      </c>
      <c r="D61" s="23">
        <f>SUM(D3:D59)</f>
        <v>0</v>
      </c>
      <c r="E61" s="18">
        <f>SUM(E3:E59)</f>
        <v>0</v>
      </c>
      <c r="F61" s="18">
        <f>SUM(F3:F59)</f>
        <v>0</v>
      </c>
      <c r="G61" s="3" t="e">
        <f>F61/E61</f>
        <v>#DIV/0!</v>
      </c>
      <c r="H61" s="12" t="e">
        <f>IF(G61&lt;0.96,"behind",IF(G61&gt;1.04,"ahead","on track"))</f>
        <v>#DIV/0!</v>
      </c>
      <c r="I61" s="2">
        <f>SUM(I3:I59)</f>
        <v>0</v>
      </c>
      <c r="J61" s="2">
        <f>SUM(J3:J59)</f>
        <v>0</v>
      </c>
      <c r="K61" s="3" t="e">
        <f>J61/I61</f>
        <v>#DIV/0!</v>
      </c>
      <c r="L61" s="12" t="e">
        <f>IF(K61&lt;0.96,"behind",IF(K61&gt;1.04,"ahead","on track"))</f>
        <v>#DIV/0!</v>
      </c>
      <c r="M61" s="2">
        <f>SUM(M3:M59)</f>
        <v>772292</v>
      </c>
      <c r="N61" s="2">
        <f>SUM(N3:N60)</f>
        <v>1000000</v>
      </c>
      <c r="O61" s="27">
        <f>N61/M61</f>
        <v>1.2948470267722572</v>
      </c>
      <c r="P61" t="e">
        <f>M61/D61</f>
        <v>#DIV/0!</v>
      </c>
    </row>
    <row r="63" spans="1:16" x14ac:dyDescent="0.25">
      <c r="D63" s="16" t="s">
        <v>499</v>
      </c>
      <c r="M63">
        <v>9208</v>
      </c>
      <c r="N63">
        <v>8971</v>
      </c>
      <c r="O63" s="25">
        <f>N63/M63</f>
        <v>0.97426151172893138</v>
      </c>
    </row>
    <row r="64" spans="1:16" x14ac:dyDescent="0.25">
      <c r="D64" s="16" t="s">
        <v>444</v>
      </c>
      <c r="M64">
        <v>9264</v>
      </c>
      <c r="N64">
        <v>9165</v>
      </c>
      <c r="O64" s="25">
        <f>N64/M64</f>
        <v>0.98931347150259064</v>
      </c>
    </row>
    <row r="65" spans="4:14" x14ac:dyDescent="0.25">
      <c r="D65" s="16" t="s">
        <v>489</v>
      </c>
      <c r="N65">
        <v>1000</v>
      </c>
    </row>
  </sheetData>
  <mergeCells count="3">
    <mergeCell ref="B1:D1"/>
    <mergeCell ref="E1:H1"/>
    <mergeCell ref="I1:L1"/>
  </mergeCells>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8BF2-8377-4F02-9F78-58B4B35C28F1}">
  <dimension ref="B1:F11"/>
  <sheetViews>
    <sheetView showGridLines="0" workbookViewId="0"/>
  </sheetViews>
  <sheetFormatPr defaultRowHeight="13.2" x14ac:dyDescent="0.25"/>
  <cols>
    <col min="1" max="1" width="0.77734375" customWidth="1"/>
    <col min="2" max="2" width="41" customWidth="1"/>
    <col min="3" max="3" width="1" customWidth="1"/>
    <col min="4" max="4" width="3.5546875" customWidth="1"/>
    <col min="5" max="6" width="10.21875" customWidth="1"/>
  </cols>
  <sheetData>
    <row r="1" spans="2:6" ht="26.4" x14ac:dyDescent="0.25">
      <c r="B1" s="32" t="s">
        <v>686</v>
      </c>
      <c r="C1" s="32"/>
      <c r="D1" s="42"/>
      <c r="E1" s="42"/>
      <c r="F1" s="42"/>
    </row>
    <row r="2" spans="2:6" x14ac:dyDescent="0.25">
      <c r="B2" s="32" t="s">
        <v>687</v>
      </c>
      <c r="C2" s="32"/>
      <c r="D2" s="42"/>
      <c r="E2" s="42"/>
      <c r="F2" s="42"/>
    </row>
    <row r="3" spans="2:6" x14ac:dyDescent="0.25">
      <c r="B3" s="37"/>
      <c r="C3" s="37"/>
      <c r="D3" s="43"/>
      <c r="E3" s="43"/>
      <c r="F3" s="43"/>
    </row>
    <row r="4" spans="2:6" ht="39.6" x14ac:dyDescent="0.25">
      <c r="B4" s="37" t="s">
        <v>688</v>
      </c>
      <c r="C4" s="37"/>
      <c r="D4" s="43"/>
      <c r="E4" s="43"/>
      <c r="F4" s="43"/>
    </row>
    <row r="5" spans="2:6" x14ac:dyDescent="0.25">
      <c r="B5" s="37"/>
      <c r="C5" s="37"/>
      <c r="D5" s="43"/>
      <c r="E5" s="43"/>
      <c r="F5" s="43"/>
    </row>
    <row r="6" spans="2:6" ht="39.6" x14ac:dyDescent="0.25">
      <c r="B6" s="32" t="s">
        <v>689</v>
      </c>
      <c r="C6" s="32"/>
      <c r="D6" s="42"/>
      <c r="E6" s="42" t="s">
        <v>690</v>
      </c>
      <c r="F6" s="42" t="s">
        <v>691</v>
      </c>
    </row>
    <row r="7" spans="2:6" ht="13.8" thickBot="1" x14ac:dyDescent="0.3">
      <c r="B7" s="37"/>
      <c r="C7" s="37"/>
      <c r="D7" s="43"/>
      <c r="E7" s="43"/>
      <c r="F7" s="43"/>
    </row>
    <row r="8" spans="2:6" ht="39.6" x14ac:dyDescent="0.25">
      <c r="B8" s="38" t="s">
        <v>692</v>
      </c>
      <c r="C8" s="39"/>
      <c r="D8" s="44"/>
      <c r="E8" s="44">
        <v>1</v>
      </c>
      <c r="F8" s="45"/>
    </row>
    <row r="9" spans="2:6" ht="40.200000000000003" thickBot="1" x14ac:dyDescent="0.3">
      <c r="B9" s="40"/>
      <c r="C9" s="41"/>
      <c r="D9" s="46"/>
      <c r="E9" s="47" t="s">
        <v>693</v>
      </c>
      <c r="F9" s="48" t="s">
        <v>694</v>
      </c>
    </row>
    <row r="10" spans="2:6" x14ac:dyDescent="0.25">
      <c r="B10" s="37"/>
      <c r="C10" s="37"/>
      <c r="D10" s="43"/>
      <c r="E10" s="43"/>
      <c r="F10" s="43"/>
    </row>
    <row r="11" spans="2:6" x14ac:dyDescent="0.25">
      <c r="B11" s="37"/>
      <c r="C11" s="37"/>
      <c r="D11" s="43"/>
      <c r="E11" s="43"/>
      <c r="F11" s="43"/>
    </row>
  </sheetData>
  <hyperlinks>
    <hyperlink ref="E9" location="'Account Summary'!A1:D693" display="'Account Summary'!A1:D693" xr:uid="{DF64DA14-8A0B-4F70-A89E-38124A3C89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Account Summary</vt:lpstr>
      <vt:lpstr>Product Summary</vt:lpstr>
      <vt:lpstr>Mississauga</vt:lpstr>
      <vt:lpstr>Vaudreuil</vt:lpstr>
      <vt:lpstr>Sheet1</vt:lpstr>
      <vt:lpstr>Mississauga!Print_Area</vt:lpstr>
      <vt:lpstr>'Account Summary'!Print_Titles</vt:lpstr>
    </vt:vector>
  </TitlesOfParts>
  <Company>UBA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July 2007 Sales Report</dc:title>
  <dc:creator>Michael Chamberlain</dc:creator>
  <cp:lastModifiedBy>Robert Lee</cp:lastModifiedBy>
  <cp:lastPrinted>2007-09-10T18:45:26Z</cp:lastPrinted>
  <dcterms:created xsi:type="dcterms:W3CDTF">2006-01-09T15:09:09Z</dcterms:created>
  <dcterms:modified xsi:type="dcterms:W3CDTF">2026-03-30T18:21:15Z</dcterms:modified>
</cp:coreProperties>
</file>